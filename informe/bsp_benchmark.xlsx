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CDBC3FFB-D381-4AC2-86CE-D1AC26AF785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tos" sheetId="1" r:id="rId1"/>
    <sheet name="Pivote_Tiempo" sheetId="2" r:id="rId2"/>
    <sheet name="Pivote_Habitacion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3" l="1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2" i="3"/>
  <c r="F2" i="3"/>
  <c r="E2" i="3"/>
  <c r="D2" i="3"/>
  <c r="C2" i="3"/>
  <c r="B2" i="3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<sst xmlns="http://schemas.openxmlformats.org/spreadsheetml/2006/main" count="7" uniqueCount="6">
  <si>
    <t>width</t>
  </si>
  <si>
    <t>height</t>
  </si>
  <si>
    <t>seed</t>
  </si>
  <si>
    <t>time_ms</t>
  </si>
  <si>
    <t>rooms</t>
  </si>
  <si>
    <t>altura \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</si>
</sst>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397BC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637"/>
      <rgbColor rgb="FF800080"/>
      <rgbColor rgb="FF397BCA"/>
      <rgbColor rgb="FFB7B7B7"/>
      <rgbColor rgb="FF878787"/>
      <rgbColor rgb="FF9999FF"/>
      <rgbColor rgb="FFCE3A36"/>
      <rgbColor rgb="FFFFFFCC"/>
      <rgbColor rgb="FFCCFFFF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4B3D5"/>
      <rgbColor rgb="FF9CC745"/>
      <rgbColor rgb="FFFFCC00"/>
      <rgbColor rgb="FFFF9135"/>
      <rgbColor rgb="FFCC6D20"/>
      <rgbColor rgb="FF7B57A7"/>
      <rgbColor rgb="FF969696"/>
      <rgbColor rgb="FF003366"/>
      <rgbColor rgb="FF2988A1"/>
      <rgbColor rgb="FF003300"/>
      <rgbColor rgb="FF333300"/>
      <rgbColor rgb="FF9C2F2C"/>
      <rgbColor rgb="FF993366"/>
      <rgbColor rgb="FF5E437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Tiempo promedio de generación (ms) vs ancho y alto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solidFill>
            <a:srgbClr val="878787"/>
          </a:solidFill>
          <a:round/>
        </a:ln>
      </c:spPr>
    </c:floor>
    <c:sideWall>
      <c:thickness val="0"/>
      <c:spPr>
        <a:noFill/>
        <a:ln w="9360">
          <a:solidFill>
            <a:srgbClr val="878787"/>
          </a:solidFill>
          <a:round/>
        </a:ln>
      </c:spPr>
    </c:sideWall>
    <c:backWall>
      <c:thickness val="0"/>
      <c:spPr>
        <a:noFill/>
        <a:ln w="9360">
          <a:solidFill>
            <a:srgbClr val="878787"/>
          </a:solidFill>
          <a:round/>
        </a:ln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Pivote_Tiempo!$B$1</c:f>
              <c:strCache>
                <c:ptCount val="1"/>
                <c:pt idx="0">
                  <c:v>40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Pivote_Tiempo!$A$2:$A$7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Pivote_Tiempo!$B$2:$B$7</c:f>
              <c:numCache>
                <c:formatCode>0.000000</c:formatCode>
                <c:ptCount val="6"/>
                <c:pt idx="0">
                  <c:v>2.1438000000000004E-3</c:v>
                </c:pt>
                <c:pt idx="1">
                  <c:v>1.1977999999999999E-3</c:v>
                </c:pt>
                <c:pt idx="2">
                  <c:v>2.8942000000000004E-3</c:v>
                </c:pt>
                <c:pt idx="3">
                  <c:v>1.82E-3</c:v>
                </c:pt>
                <c:pt idx="4">
                  <c:v>2.2951999999999998E-3</c:v>
                </c:pt>
                <c:pt idx="5">
                  <c:v>2.5098E-3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5-4EBA-B62F-E3A3452FE524}"/>
            </c:ext>
          </c:extLst>
        </c:ser>
        <c:ser>
          <c:idx val="1"/>
          <c:order val="1"/>
          <c:tx>
            <c:strRef>
              <c:f>Pivote_Tiempo!$C$1</c:f>
              <c:strCache>
                <c:ptCount val="1"/>
                <c:pt idx="0">
                  <c:v>80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Pivote_Tiempo!$A$2:$A$7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Pivote_Tiempo!$C$2:$C$7</c:f>
              <c:numCache>
                <c:formatCode>0.000000</c:formatCode>
                <c:ptCount val="6"/>
                <c:pt idx="0">
                  <c:v>1.3382000000000001E-3</c:v>
                </c:pt>
                <c:pt idx="1">
                  <c:v>1.9013999999999999E-3</c:v>
                </c:pt>
                <c:pt idx="2">
                  <c:v>2.2675999999999998E-3</c:v>
                </c:pt>
                <c:pt idx="3">
                  <c:v>4.1347999999999992E-3</c:v>
                </c:pt>
                <c:pt idx="4">
                  <c:v>4.1862000000000002E-3</c:v>
                </c:pt>
                <c:pt idx="5">
                  <c:v>4.0267999999999997E-3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5-4EBA-B62F-E3A3452FE524}"/>
            </c:ext>
          </c:extLst>
        </c:ser>
        <c:ser>
          <c:idx val="2"/>
          <c:order val="2"/>
          <c:tx>
            <c:strRef>
              <c:f>Pivote_Tiempo!$D$1</c:f>
              <c:strCache>
                <c:ptCount val="1"/>
                <c:pt idx="0">
                  <c:v>120</c:v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Pivote_Tiempo!$A$2:$A$7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Pivote_Tiempo!$D$2:$D$7</c:f>
              <c:numCache>
                <c:formatCode>0.000000</c:formatCode>
                <c:ptCount val="6"/>
                <c:pt idx="0">
                  <c:v>1.8374000000000001E-3</c:v>
                </c:pt>
                <c:pt idx="1">
                  <c:v>2.3418000000000002E-3</c:v>
                </c:pt>
                <c:pt idx="2">
                  <c:v>3.3624000000000002E-3</c:v>
                </c:pt>
                <c:pt idx="3">
                  <c:v>3.9883999999999996E-3</c:v>
                </c:pt>
                <c:pt idx="4">
                  <c:v>4.2312000000000001E-3</c:v>
                </c:pt>
                <c:pt idx="5">
                  <c:v>4.1523999999999997E-3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55-4EBA-B62F-E3A3452FE524}"/>
            </c:ext>
          </c:extLst>
        </c:ser>
        <c:ser>
          <c:idx val="3"/>
          <c:order val="3"/>
          <c:tx>
            <c:strRef>
              <c:f>Pivote_Tiempo!$E$1</c:f>
              <c:strCache>
                <c:ptCount val="1"/>
                <c:pt idx="0">
                  <c:v>160</c:v>
                </c:pt>
              </c:strCache>
            </c:strRef>
          </c:tx>
          <c:spPr>
            <a:gradFill>
              <a:gsLst>
                <a:gs pos="0">
                  <a:srgbClr val="5E437F"/>
                </a:gs>
                <a:gs pos="80000">
                  <a:srgbClr val="7B57A5"/>
                </a:gs>
                <a:gs pos="100000">
                  <a:srgbClr val="7B57A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Pivote_Tiempo!$A$2:$A$7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Pivote_Tiempo!$E$2:$E$7</c:f>
              <c:numCache>
                <c:formatCode>0.000000</c:formatCode>
                <c:ptCount val="6"/>
                <c:pt idx="0">
                  <c:v>2.0977999999999999E-3</c:v>
                </c:pt>
                <c:pt idx="1">
                  <c:v>8.490000000000001E-3</c:v>
                </c:pt>
                <c:pt idx="2">
                  <c:v>5.7610000000000005E-3</c:v>
                </c:pt>
                <c:pt idx="3">
                  <c:v>4.3280000000000002E-3</c:v>
                </c:pt>
                <c:pt idx="4">
                  <c:v>4.5580000000000004E-3</c:v>
                </c:pt>
                <c:pt idx="5">
                  <c:v>4.6192000000000004E-3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55-4EBA-B62F-E3A3452FE524}"/>
            </c:ext>
          </c:extLst>
        </c:ser>
        <c:ser>
          <c:idx val="4"/>
          <c:order val="4"/>
          <c:tx>
            <c:strRef>
              <c:f>Pivote_Tiempo!$F$1</c:f>
              <c:strCache>
                <c:ptCount val="1"/>
                <c:pt idx="0">
                  <c:v>200</c:v>
                </c:pt>
              </c:strCache>
            </c:strRef>
          </c:tx>
          <c:spPr>
            <a:gradFill>
              <a:gsLst>
                <a:gs pos="0">
                  <a:srgbClr val="2988A1"/>
                </a:gs>
                <a:gs pos="80000">
                  <a:srgbClr val="36B0D1"/>
                </a:gs>
                <a:gs pos="100000">
                  <a:srgbClr val="34B3D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Pivote_Tiempo!$A$2:$A$7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Pivote_Tiempo!$F$2:$F$7</c:f>
              <c:numCache>
                <c:formatCode>0.000000</c:formatCode>
                <c:ptCount val="6"/>
                <c:pt idx="0">
                  <c:v>2.653E-3</c:v>
                </c:pt>
                <c:pt idx="1">
                  <c:v>3.9692000000000009E-3</c:v>
                </c:pt>
                <c:pt idx="2">
                  <c:v>4.1410000000000006E-3</c:v>
                </c:pt>
                <c:pt idx="3">
                  <c:v>4.7381999999999997E-3</c:v>
                </c:pt>
                <c:pt idx="4">
                  <c:v>4.6065999999999998E-3</c:v>
                </c:pt>
                <c:pt idx="5">
                  <c:v>4.6027999999999998E-3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55-4EBA-B62F-E3A3452FE524}"/>
            </c:ext>
          </c:extLst>
        </c:ser>
        <c:ser>
          <c:idx val="5"/>
          <c:order val="5"/>
          <c:tx>
            <c:strRef>
              <c:f>Pivote_Tiempo!$G$1</c:f>
              <c:strCache>
                <c:ptCount val="1"/>
                <c:pt idx="0">
                  <c:v>240</c:v>
                </c:pt>
              </c:strCache>
            </c:strRef>
          </c:tx>
          <c:spPr>
            <a:gradFill>
              <a:gsLst>
                <a:gs pos="0">
                  <a:srgbClr val="CC6D20"/>
                </a:gs>
                <a:gs pos="80000">
                  <a:srgbClr val="FF9033"/>
                </a:gs>
                <a:gs pos="100000">
                  <a:srgbClr val="FF913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Pivote_Tiempo!$A$2:$A$7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Pivote_Tiempo!$G$2:$G$7</c:f>
              <c:numCache>
                <c:formatCode>0.000000</c:formatCode>
                <c:ptCount val="6"/>
                <c:pt idx="0">
                  <c:v>2.9317999999999996E-3</c:v>
                </c:pt>
                <c:pt idx="1">
                  <c:v>3.7089999999999996E-3</c:v>
                </c:pt>
                <c:pt idx="2">
                  <c:v>4.1984000000000006E-3</c:v>
                </c:pt>
                <c:pt idx="3">
                  <c:v>4.4454000000000004E-3</c:v>
                </c:pt>
                <c:pt idx="4">
                  <c:v>4.5060000000000005E-3</c:v>
                </c:pt>
                <c:pt idx="5">
                  <c:v>4.4755999999999997E-3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55-4EBA-B62F-E3A3452FE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46452741"/>
        <c:axId val="40671612"/>
        <c:axId val="2689771"/>
      </c:bar3DChart>
      <c:catAx>
        <c:axId val="464527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ancho (mapWidth)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0671612"/>
        <c:crosses val="autoZero"/>
        <c:auto val="1"/>
        <c:lblAlgn val="ctr"/>
        <c:lblOffset val="100"/>
        <c:noMultiLvlLbl val="0"/>
      </c:catAx>
      <c:valAx>
        <c:axId val="40671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alto (mapHeight)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6452741"/>
        <c:crosses val="autoZero"/>
        <c:crossBetween val="midCat"/>
      </c:valAx>
      <c:serAx>
        <c:axId val="268977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0671612"/>
        <c:crosses val="autoZero"/>
      </c:ser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N° promedio de habitaciones generadas vs ancho y alto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solidFill>
            <a:srgbClr val="878787"/>
          </a:solidFill>
          <a:round/>
        </a:ln>
      </c:spPr>
    </c:floor>
    <c:sideWall>
      <c:thickness val="0"/>
      <c:spPr>
        <a:noFill/>
        <a:ln w="9360">
          <a:solidFill>
            <a:srgbClr val="878787"/>
          </a:solidFill>
          <a:round/>
        </a:ln>
      </c:spPr>
    </c:sideWall>
    <c:backWall>
      <c:thickness val="0"/>
      <c:spPr>
        <a:noFill/>
        <a:ln w="9360">
          <a:solidFill>
            <a:srgbClr val="878787"/>
          </a:solidFill>
          <a:round/>
        </a:ln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Pivote_Habitaciones!$B$1</c:f>
              <c:strCache>
                <c:ptCount val="1"/>
                <c:pt idx="0">
                  <c:v>40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Pivote_Habitaciones!$A$2:$A$7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Pivote_Habitaciones!$B$2:$B$7</c:f>
              <c:numCache>
                <c:formatCode>0</c:formatCode>
                <c:ptCount val="6"/>
                <c:pt idx="0">
                  <c:v>6.2</c:v>
                </c:pt>
                <c:pt idx="1">
                  <c:v>9</c:v>
                </c:pt>
                <c:pt idx="2">
                  <c:v>13.4</c:v>
                </c:pt>
                <c:pt idx="3">
                  <c:v>17.8</c:v>
                </c:pt>
                <c:pt idx="4">
                  <c:v>23.6</c:v>
                </c:pt>
                <c:pt idx="5">
                  <c:v>27.8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2-4877-BB80-E0653A59CEA7}"/>
            </c:ext>
          </c:extLst>
        </c:ser>
        <c:ser>
          <c:idx val="1"/>
          <c:order val="1"/>
          <c:tx>
            <c:strRef>
              <c:f>Pivote_Habitaciones!$C$1</c:f>
              <c:strCache>
                <c:ptCount val="1"/>
                <c:pt idx="0">
                  <c:v>80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Pivote_Habitaciones!$A$2:$A$7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Pivote_Habitaciones!$C$2:$C$7</c:f>
              <c:numCache>
                <c:formatCode>0</c:formatCode>
                <c:ptCount val="6"/>
                <c:pt idx="0">
                  <c:v>12</c:v>
                </c:pt>
                <c:pt idx="1">
                  <c:v>19.399999999999999</c:v>
                </c:pt>
                <c:pt idx="2">
                  <c:v>25.4</c:v>
                </c:pt>
                <c:pt idx="3">
                  <c:v>35.4</c:v>
                </c:pt>
                <c:pt idx="4">
                  <c:v>42.6</c:v>
                </c:pt>
                <c:pt idx="5">
                  <c:v>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2-4877-BB80-E0653A59CEA7}"/>
            </c:ext>
          </c:extLst>
        </c:ser>
        <c:ser>
          <c:idx val="2"/>
          <c:order val="2"/>
          <c:tx>
            <c:strRef>
              <c:f>Pivote_Habitaciones!$D$1</c:f>
              <c:strCache>
                <c:ptCount val="1"/>
                <c:pt idx="0">
                  <c:v>120</c:v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Pivote_Habitaciones!$A$2:$A$7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Pivote_Habitaciones!$D$2:$D$7</c:f>
              <c:numCache>
                <c:formatCode>0</c:formatCode>
                <c:ptCount val="6"/>
                <c:pt idx="0">
                  <c:v>19.2</c:v>
                </c:pt>
                <c:pt idx="1">
                  <c:v>27.6</c:v>
                </c:pt>
                <c:pt idx="2">
                  <c:v>39.4</c:v>
                </c:pt>
                <c:pt idx="3">
                  <c:v>45.2</c:v>
                </c:pt>
                <c:pt idx="4">
                  <c:v>51.8</c:v>
                </c:pt>
                <c:pt idx="5">
                  <c:v>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2-4877-BB80-E0653A59CEA7}"/>
            </c:ext>
          </c:extLst>
        </c:ser>
        <c:ser>
          <c:idx val="3"/>
          <c:order val="3"/>
          <c:tx>
            <c:strRef>
              <c:f>Pivote_Habitaciones!$E$1</c:f>
              <c:strCache>
                <c:ptCount val="1"/>
                <c:pt idx="0">
                  <c:v>160</c:v>
                </c:pt>
              </c:strCache>
            </c:strRef>
          </c:tx>
          <c:spPr>
            <a:gradFill>
              <a:gsLst>
                <a:gs pos="0">
                  <a:srgbClr val="5E437F"/>
                </a:gs>
                <a:gs pos="80000">
                  <a:srgbClr val="7B57A5"/>
                </a:gs>
                <a:gs pos="100000">
                  <a:srgbClr val="7B57A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Pivote_Habitaciones!$A$2:$A$7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Pivote_Habitaciones!$E$2:$E$7</c:f>
              <c:numCache>
                <c:formatCode>0</c:formatCode>
                <c:ptCount val="6"/>
                <c:pt idx="0">
                  <c:v>23.8</c:v>
                </c:pt>
                <c:pt idx="1">
                  <c:v>36.200000000000003</c:v>
                </c:pt>
                <c:pt idx="2">
                  <c:v>45.8</c:v>
                </c:pt>
                <c:pt idx="3">
                  <c:v>53.2</c:v>
                </c:pt>
                <c:pt idx="4">
                  <c:v>57.2</c:v>
                </c:pt>
                <c:pt idx="5">
                  <c:v>58.4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12-4877-BB80-E0653A59CEA7}"/>
            </c:ext>
          </c:extLst>
        </c:ser>
        <c:ser>
          <c:idx val="4"/>
          <c:order val="4"/>
          <c:tx>
            <c:strRef>
              <c:f>Pivote_Habitaciones!$F$1</c:f>
              <c:strCache>
                <c:ptCount val="1"/>
                <c:pt idx="0">
                  <c:v>200</c:v>
                </c:pt>
              </c:strCache>
            </c:strRef>
          </c:tx>
          <c:spPr>
            <a:gradFill>
              <a:gsLst>
                <a:gs pos="0">
                  <a:srgbClr val="2988A1"/>
                </a:gs>
                <a:gs pos="80000">
                  <a:srgbClr val="36B0D1"/>
                </a:gs>
                <a:gs pos="100000">
                  <a:srgbClr val="34B3D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Pivote_Habitaciones!$A$2:$A$7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Pivote_Habitaciones!$F$2:$F$7</c:f>
              <c:numCache>
                <c:formatCode>0</c:formatCode>
                <c:ptCount val="6"/>
                <c:pt idx="0">
                  <c:v>31</c:v>
                </c:pt>
                <c:pt idx="1">
                  <c:v>42</c:v>
                </c:pt>
                <c:pt idx="2">
                  <c:v>52</c:v>
                </c:pt>
                <c:pt idx="3">
                  <c:v>55.6</c:v>
                </c:pt>
                <c:pt idx="4">
                  <c:v>60.4</c:v>
                </c:pt>
                <c:pt idx="5">
                  <c:v>60.6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12-4877-BB80-E0653A59CEA7}"/>
            </c:ext>
          </c:extLst>
        </c:ser>
        <c:ser>
          <c:idx val="5"/>
          <c:order val="5"/>
          <c:tx>
            <c:strRef>
              <c:f>Pivote_Habitaciones!$G$1</c:f>
              <c:strCache>
                <c:ptCount val="1"/>
                <c:pt idx="0">
                  <c:v>240</c:v>
                </c:pt>
              </c:strCache>
            </c:strRef>
          </c:tx>
          <c:spPr>
            <a:gradFill>
              <a:gsLst>
                <a:gs pos="0">
                  <a:srgbClr val="CC6D20"/>
                </a:gs>
                <a:gs pos="80000">
                  <a:srgbClr val="FF9033"/>
                </a:gs>
                <a:gs pos="100000">
                  <a:srgbClr val="FF913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Pivote_Habitaciones!$A$2:$A$7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Pivote_Habitaciones!$G$2:$G$7</c:f>
              <c:numCache>
                <c:formatCode>0</c:formatCode>
                <c:ptCount val="6"/>
                <c:pt idx="0">
                  <c:v>35.6</c:v>
                </c:pt>
                <c:pt idx="1">
                  <c:v>46.4</c:v>
                </c:pt>
                <c:pt idx="2">
                  <c:v>54.2</c:v>
                </c:pt>
                <c:pt idx="3">
                  <c:v>58.6</c:v>
                </c:pt>
                <c:pt idx="4">
                  <c:v>62</c:v>
                </c:pt>
                <c:pt idx="5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12-4877-BB80-E0653A59C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8582744"/>
        <c:axId val="73454137"/>
        <c:axId val="34640258"/>
      </c:bar3DChart>
      <c:catAx>
        <c:axId val="18582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ancho (mapWidth)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3454137"/>
        <c:crosses val="autoZero"/>
        <c:auto val="1"/>
        <c:lblAlgn val="ctr"/>
        <c:lblOffset val="100"/>
        <c:noMultiLvlLbl val="0"/>
      </c:catAx>
      <c:valAx>
        <c:axId val="73454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alto (mapHeight)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8582744"/>
        <c:crosses val="autoZero"/>
        <c:crossBetween val="midCat"/>
      </c:valAx>
      <c:serAx>
        <c:axId val="3464025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habitaciones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3454137"/>
        <c:crosses val="autoZero"/>
      </c:ser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7</xdr:col>
      <xdr:colOff>65520</xdr:colOff>
      <xdr:row>27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7</xdr:col>
      <xdr:colOff>65520</xdr:colOff>
      <xdr:row>27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" displayName="Datos" ref="A1:E181" totalsRowShown="0">
  <autoFilter ref="A1:E181" xr:uid="{00000000-0009-0000-0100-000001000000}"/>
  <tableColumns count="5">
    <tableColumn id="1" xr3:uid="{00000000-0010-0000-0000-000001000000}" name="width"/>
    <tableColumn id="2" xr3:uid="{00000000-0010-0000-0000-000002000000}" name="height"/>
    <tableColumn id="3" xr3:uid="{00000000-0010-0000-0000-000003000000}" name="seed"/>
    <tableColumn id="4" xr3:uid="{00000000-0010-0000-0000-000004000000}" name="time_ms"/>
    <tableColumn id="5" xr3:uid="{00000000-0010-0000-0000-000005000000}" name="room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zoomScaleNormal="100" workbookViewId="0">
      <selection activeCell="H7" sqref="H7"/>
    </sheetView>
  </sheetViews>
  <sheetFormatPr baseColWidth="10" defaultColWidth="8.6640625" defaultRowHeight="14.4" x14ac:dyDescent="0.3"/>
  <cols>
    <col min="1" max="1" width="10.77734375" bestFit="1" customWidth="1"/>
    <col min="2" max="2" width="11.5546875" bestFit="1" customWidth="1"/>
    <col min="3" max="3" width="10.21875" bestFit="1" customWidth="1"/>
    <col min="4" max="4" width="13.88671875" bestFit="1" customWidth="1"/>
    <col min="5" max="5" width="11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40</v>
      </c>
      <c r="B2" s="2">
        <v>20</v>
      </c>
      <c r="C2" s="2">
        <v>1</v>
      </c>
      <c r="D2" s="3">
        <v>6.6189999999999999E-3</v>
      </c>
      <c r="E2" s="2">
        <v>6</v>
      </c>
    </row>
    <row r="3" spans="1:5" x14ac:dyDescent="0.3">
      <c r="A3" s="2">
        <v>40</v>
      </c>
      <c r="B3" s="2">
        <v>20</v>
      </c>
      <c r="C3" s="2">
        <v>2</v>
      </c>
      <c r="D3" s="3">
        <v>1.214E-3</v>
      </c>
      <c r="E3" s="2">
        <v>6</v>
      </c>
    </row>
    <row r="4" spans="1:5" x14ac:dyDescent="0.3">
      <c r="A4" s="2">
        <v>40</v>
      </c>
      <c r="B4" s="2">
        <v>20</v>
      </c>
      <c r="C4" s="2">
        <v>3</v>
      </c>
      <c r="D4" s="3">
        <v>1.005E-3</v>
      </c>
      <c r="E4" s="2">
        <v>6</v>
      </c>
    </row>
    <row r="5" spans="1:5" x14ac:dyDescent="0.3">
      <c r="A5" s="2">
        <v>40</v>
      </c>
      <c r="B5" s="2">
        <v>20</v>
      </c>
      <c r="C5" s="2">
        <v>4</v>
      </c>
      <c r="D5" s="3">
        <v>1.034E-3</v>
      </c>
      <c r="E5" s="2">
        <v>7</v>
      </c>
    </row>
    <row r="6" spans="1:5" x14ac:dyDescent="0.3">
      <c r="A6" s="2">
        <v>40</v>
      </c>
      <c r="B6" s="2">
        <v>20</v>
      </c>
      <c r="C6" s="2">
        <v>5</v>
      </c>
      <c r="D6" s="3">
        <v>8.4699999999999999E-4</v>
      </c>
      <c r="E6" s="2">
        <v>6</v>
      </c>
    </row>
    <row r="7" spans="1:5" x14ac:dyDescent="0.3">
      <c r="A7" s="2">
        <v>40</v>
      </c>
      <c r="B7" s="2">
        <v>40</v>
      </c>
      <c r="C7" s="2">
        <v>1</v>
      </c>
      <c r="D7" s="3">
        <v>1.292E-3</v>
      </c>
      <c r="E7" s="2">
        <v>9</v>
      </c>
    </row>
    <row r="8" spans="1:5" x14ac:dyDescent="0.3">
      <c r="A8" s="2">
        <v>40</v>
      </c>
      <c r="B8" s="2">
        <v>40</v>
      </c>
      <c r="C8" s="2">
        <v>2</v>
      </c>
      <c r="D8" s="3">
        <v>1.2899999999999999E-3</v>
      </c>
      <c r="E8" s="2">
        <v>9</v>
      </c>
    </row>
    <row r="9" spans="1:5" x14ac:dyDescent="0.3">
      <c r="A9" s="2">
        <v>40</v>
      </c>
      <c r="B9" s="2">
        <v>40</v>
      </c>
      <c r="C9" s="2">
        <v>3</v>
      </c>
      <c r="D9" s="3">
        <v>1.1429999999999999E-3</v>
      </c>
      <c r="E9" s="2">
        <v>9</v>
      </c>
    </row>
    <row r="10" spans="1:5" x14ac:dyDescent="0.3">
      <c r="A10" s="2">
        <v>40</v>
      </c>
      <c r="B10" s="2">
        <v>40</v>
      </c>
      <c r="C10" s="2">
        <v>4</v>
      </c>
      <c r="D10" s="3">
        <v>1.14E-3</v>
      </c>
      <c r="E10" s="2">
        <v>9</v>
      </c>
    </row>
    <row r="11" spans="1:5" x14ac:dyDescent="0.3">
      <c r="A11" s="2">
        <v>40</v>
      </c>
      <c r="B11" s="2">
        <v>40</v>
      </c>
      <c r="C11" s="2">
        <v>5</v>
      </c>
      <c r="D11" s="3">
        <v>1.124E-3</v>
      </c>
      <c r="E11" s="2">
        <v>9</v>
      </c>
    </row>
    <row r="12" spans="1:5" x14ac:dyDescent="0.3">
      <c r="A12" s="2">
        <v>40</v>
      </c>
      <c r="B12" s="2">
        <v>60</v>
      </c>
      <c r="C12" s="2">
        <v>1</v>
      </c>
      <c r="D12" s="3">
        <v>8.4060000000000003E-3</v>
      </c>
      <c r="E12" s="2">
        <v>14</v>
      </c>
    </row>
    <row r="13" spans="1:5" x14ac:dyDescent="0.3">
      <c r="A13" s="2">
        <v>40</v>
      </c>
      <c r="B13" s="2">
        <v>60</v>
      </c>
      <c r="C13" s="2">
        <v>2</v>
      </c>
      <c r="D13" s="3">
        <v>1.529E-3</v>
      </c>
      <c r="E13" s="2">
        <v>12</v>
      </c>
    </row>
    <row r="14" spans="1:5" x14ac:dyDescent="0.3">
      <c r="A14" s="2">
        <v>40</v>
      </c>
      <c r="B14" s="2">
        <v>60</v>
      </c>
      <c r="C14" s="2">
        <v>3</v>
      </c>
      <c r="D14" s="3">
        <v>1.3569999999999999E-3</v>
      </c>
      <c r="E14" s="2">
        <v>13</v>
      </c>
    </row>
    <row r="15" spans="1:5" x14ac:dyDescent="0.3">
      <c r="A15" s="2">
        <v>40</v>
      </c>
      <c r="B15" s="2">
        <v>60</v>
      </c>
      <c r="C15" s="2">
        <v>4</v>
      </c>
      <c r="D15" s="3">
        <v>1.6969999999999999E-3</v>
      </c>
      <c r="E15" s="2">
        <v>15</v>
      </c>
    </row>
    <row r="16" spans="1:5" x14ac:dyDescent="0.3">
      <c r="A16" s="2">
        <v>40</v>
      </c>
      <c r="B16" s="2">
        <v>60</v>
      </c>
      <c r="C16" s="2">
        <v>5</v>
      </c>
      <c r="D16" s="3">
        <v>1.482E-3</v>
      </c>
      <c r="E16" s="2">
        <v>13</v>
      </c>
    </row>
    <row r="17" spans="1:5" x14ac:dyDescent="0.3">
      <c r="A17" s="2">
        <v>40</v>
      </c>
      <c r="B17" s="2">
        <v>80</v>
      </c>
      <c r="C17" s="2">
        <v>1</v>
      </c>
      <c r="D17" s="3">
        <v>2.1879999999999998E-3</v>
      </c>
      <c r="E17" s="2">
        <v>19</v>
      </c>
    </row>
    <row r="18" spans="1:5" x14ac:dyDescent="0.3">
      <c r="A18" s="2">
        <v>40</v>
      </c>
      <c r="B18" s="2">
        <v>80</v>
      </c>
      <c r="C18" s="2">
        <v>2</v>
      </c>
      <c r="D18" s="3">
        <v>1.6999999999999999E-3</v>
      </c>
      <c r="E18" s="2">
        <v>17</v>
      </c>
    </row>
    <row r="19" spans="1:5" x14ac:dyDescent="0.3">
      <c r="A19" s="2">
        <v>40</v>
      </c>
      <c r="B19" s="2">
        <v>80</v>
      </c>
      <c r="C19" s="2">
        <v>3</v>
      </c>
      <c r="D19" s="3">
        <v>1.9959999999999999E-3</v>
      </c>
      <c r="E19" s="2">
        <v>20</v>
      </c>
    </row>
    <row r="20" spans="1:5" x14ac:dyDescent="0.3">
      <c r="A20" s="2">
        <v>40</v>
      </c>
      <c r="B20" s="2">
        <v>80</v>
      </c>
      <c r="C20" s="2">
        <v>4</v>
      </c>
      <c r="D20" s="3">
        <v>1.325E-3</v>
      </c>
      <c r="E20" s="2">
        <v>15</v>
      </c>
    </row>
    <row r="21" spans="1:5" x14ac:dyDescent="0.3">
      <c r="A21" s="2">
        <v>40</v>
      </c>
      <c r="B21" s="2">
        <v>80</v>
      </c>
      <c r="C21" s="2">
        <v>5</v>
      </c>
      <c r="D21" s="3">
        <v>1.8910000000000001E-3</v>
      </c>
      <c r="E21" s="2">
        <v>18</v>
      </c>
    </row>
    <row r="22" spans="1:5" x14ac:dyDescent="0.3">
      <c r="A22" s="2">
        <v>40</v>
      </c>
      <c r="B22" s="2">
        <v>100</v>
      </c>
      <c r="C22" s="2">
        <v>1</v>
      </c>
      <c r="D22" s="3">
        <v>2.036E-3</v>
      </c>
      <c r="E22" s="2">
        <v>21</v>
      </c>
    </row>
    <row r="23" spans="1:5" x14ac:dyDescent="0.3">
      <c r="A23" s="2">
        <v>40</v>
      </c>
      <c r="B23" s="2">
        <v>100</v>
      </c>
      <c r="C23" s="2">
        <v>2</v>
      </c>
      <c r="D23" s="3">
        <v>2.431E-3</v>
      </c>
      <c r="E23" s="2">
        <v>25</v>
      </c>
    </row>
    <row r="24" spans="1:5" x14ac:dyDescent="0.3">
      <c r="A24" s="2">
        <v>40</v>
      </c>
      <c r="B24" s="2">
        <v>100</v>
      </c>
      <c r="C24" s="2">
        <v>3</v>
      </c>
      <c r="D24" s="3">
        <v>2.5249999999999999E-3</v>
      </c>
      <c r="E24" s="2">
        <v>26</v>
      </c>
    </row>
    <row r="25" spans="1:5" x14ac:dyDescent="0.3">
      <c r="A25" s="2">
        <v>40</v>
      </c>
      <c r="B25" s="2">
        <v>100</v>
      </c>
      <c r="C25" s="2">
        <v>4</v>
      </c>
      <c r="D25" s="3">
        <v>2.3010000000000001E-3</v>
      </c>
      <c r="E25" s="2">
        <v>24</v>
      </c>
    </row>
    <row r="26" spans="1:5" x14ac:dyDescent="0.3">
      <c r="A26" s="2">
        <v>40</v>
      </c>
      <c r="B26" s="2">
        <v>100</v>
      </c>
      <c r="C26" s="2">
        <v>5</v>
      </c>
      <c r="D26" s="3">
        <v>2.183E-3</v>
      </c>
      <c r="E26" s="2">
        <v>22</v>
      </c>
    </row>
    <row r="27" spans="1:5" x14ac:dyDescent="0.3">
      <c r="A27" s="2">
        <v>40</v>
      </c>
      <c r="B27" s="2">
        <v>120</v>
      </c>
      <c r="C27" s="2">
        <v>1</v>
      </c>
      <c r="D27" s="3">
        <v>2.8029999999999999E-3</v>
      </c>
      <c r="E27" s="2">
        <v>29</v>
      </c>
    </row>
    <row r="28" spans="1:5" x14ac:dyDescent="0.3">
      <c r="A28" s="2">
        <v>40</v>
      </c>
      <c r="B28" s="2">
        <v>120</v>
      </c>
      <c r="C28" s="2">
        <v>2</v>
      </c>
      <c r="D28" s="3">
        <v>2.4169999999999999E-3</v>
      </c>
      <c r="E28" s="2">
        <v>28</v>
      </c>
    </row>
    <row r="29" spans="1:5" x14ac:dyDescent="0.3">
      <c r="A29" s="2">
        <v>40</v>
      </c>
      <c r="B29" s="2">
        <v>120</v>
      </c>
      <c r="C29" s="2">
        <v>3</v>
      </c>
      <c r="D29" s="3">
        <v>2.6489999999999999E-3</v>
      </c>
      <c r="E29" s="2">
        <v>29</v>
      </c>
    </row>
    <row r="30" spans="1:5" x14ac:dyDescent="0.3">
      <c r="A30" s="2">
        <v>40</v>
      </c>
      <c r="B30" s="2">
        <v>120</v>
      </c>
      <c r="C30" s="2">
        <v>4</v>
      </c>
      <c r="D30" s="3">
        <v>2.4840000000000001E-3</v>
      </c>
      <c r="E30" s="2">
        <v>27</v>
      </c>
    </row>
    <row r="31" spans="1:5" x14ac:dyDescent="0.3">
      <c r="A31" s="2">
        <v>40</v>
      </c>
      <c r="B31" s="2">
        <v>120</v>
      </c>
      <c r="C31" s="2">
        <v>5</v>
      </c>
      <c r="D31" s="3">
        <v>2.196E-3</v>
      </c>
      <c r="E31" s="2">
        <v>26</v>
      </c>
    </row>
    <row r="32" spans="1:5" x14ac:dyDescent="0.3">
      <c r="A32" s="2">
        <v>80</v>
      </c>
      <c r="B32" s="2">
        <v>20</v>
      </c>
      <c r="C32" s="2">
        <v>1</v>
      </c>
      <c r="D32" s="3">
        <v>1.485E-3</v>
      </c>
      <c r="E32" s="2">
        <v>12</v>
      </c>
    </row>
    <row r="33" spans="1:5" x14ac:dyDescent="0.3">
      <c r="A33" s="2">
        <v>80</v>
      </c>
      <c r="B33" s="2">
        <v>20</v>
      </c>
      <c r="C33" s="2">
        <v>2</v>
      </c>
      <c r="D33" s="3">
        <v>1.3450000000000001E-3</v>
      </c>
      <c r="E33" s="2">
        <v>12</v>
      </c>
    </row>
    <row r="34" spans="1:5" x14ac:dyDescent="0.3">
      <c r="A34" s="2">
        <v>80</v>
      </c>
      <c r="B34" s="2">
        <v>20</v>
      </c>
      <c r="C34" s="2">
        <v>3</v>
      </c>
      <c r="D34" s="3">
        <v>1.33E-3</v>
      </c>
      <c r="E34" s="2">
        <v>12</v>
      </c>
    </row>
    <row r="35" spans="1:5" x14ac:dyDescent="0.3">
      <c r="A35" s="2">
        <v>80</v>
      </c>
      <c r="B35" s="2">
        <v>20</v>
      </c>
      <c r="C35" s="2">
        <v>4</v>
      </c>
      <c r="D35" s="3">
        <v>1.3090000000000001E-3</v>
      </c>
      <c r="E35" s="2">
        <v>12</v>
      </c>
    </row>
    <row r="36" spans="1:5" x14ac:dyDescent="0.3">
      <c r="A36" s="2">
        <v>80</v>
      </c>
      <c r="B36" s="2">
        <v>20</v>
      </c>
      <c r="C36" s="2">
        <v>5</v>
      </c>
      <c r="D36" s="3">
        <v>1.222E-3</v>
      </c>
      <c r="E36" s="2">
        <v>12</v>
      </c>
    </row>
    <row r="37" spans="1:5" x14ac:dyDescent="0.3">
      <c r="A37" s="2">
        <v>80</v>
      </c>
      <c r="B37" s="2">
        <v>40</v>
      </c>
      <c r="C37" s="2">
        <v>1</v>
      </c>
      <c r="D37" s="3">
        <v>1.7819999999999999E-3</v>
      </c>
      <c r="E37" s="2">
        <v>19</v>
      </c>
    </row>
    <row r="38" spans="1:5" x14ac:dyDescent="0.3">
      <c r="A38" s="2">
        <v>80</v>
      </c>
      <c r="B38" s="2">
        <v>40</v>
      </c>
      <c r="C38" s="2">
        <v>2</v>
      </c>
      <c r="D38" s="3">
        <v>1.8760000000000001E-3</v>
      </c>
      <c r="E38" s="2">
        <v>19</v>
      </c>
    </row>
    <row r="39" spans="1:5" x14ac:dyDescent="0.3">
      <c r="A39" s="2">
        <v>80</v>
      </c>
      <c r="B39" s="2">
        <v>40</v>
      </c>
      <c r="C39" s="2">
        <v>3</v>
      </c>
      <c r="D39" s="3">
        <v>1.9189999999999999E-3</v>
      </c>
      <c r="E39" s="2">
        <v>20</v>
      </c>
    </row>
    <row r="40" spans="1:5" x14ac:dyDescent="0.3">
      <c r="A40" s="2">
        <v>80</v>
      </c>
      <c r="B40" s="2">
        <v>40</v>
      </c>
      <c r="C40" s="2">
        <v>4</v>
      </c>
      <c r="D40" s="3">
        <v>2.0969999999999999E-3</v>
      </c>
      <c r="E40" s="2">
        <v>21</v>
      </c>
    </row>
    <row r="41" spans="1:5" x14ac:dyDescent="0.3">
      <c r="A41" s="2">
        <v>80</v>
      </c>
      <c r="B41" s="2">
        <v>40</v>
      </c>
      <c r="C41" s="2">
        <v>5</v>
      </c>
      <c r="D41" s="3">
        <v>1.833E-3</v>
      </c>
      <c r="E41" s="2">
        <v>18</v>
      </c>
    </row>
    <row r="42" spans="1:5" x14ac:dyDescent="0.3">
      <c r="A42" s="2">
        <v>80</v>
      </c>
      <c r="B42" s="2">
        <v>60</v>
      </c>
      <c r="C42" s="2">
        <v>1</v>
      </c>
      <c r="D42" s="3">
        <v>2.4559999999999998E-3</v>
      </c>
      <c r="E42" s="2">
        <v>27</v>
      </c>
    </row>
    <row r="43" spans="1:5" x14ac:dyDescent="0.3">
      <c r="A43" s="2">
        <v>80</v>
      </c>
      <c r="B43" s="2">
        <v>60</v>
      </c>
      <c r="C43" s="2">
        <v>2</v>
      </c>
      <c r="D43" s="3">
        <v>1.802E-3</v>
      </c>
      <c r="E43" s="2">
        <v>21</v>
      </c>
    </row>
    <row r="44" spans="1:5" x14ac:dyDescent="0.3">
      <c r="A44" s="2">
        <v>80</v>
      </c>
      <c r="B44" s="2">
        <v>60</v>
      </c>
      <c r="C44" s="2">
        <v>3</v>
      </c>
      <c r="D44" s="3">
        <v>2.065E-3</v>
      </c>
      <c r="E44" s="2">
        <v>22</v>
      </c>
    </row>
    <row r="45" spans="1:5" x14ac:dyDescent="0.3">
      <c r="A45" s="2">
        <v>80</v>
      </c>
      <c r="B45" s="2">
        <v>60</v>
      </c>
      <c r="C45" s="2">
        <v>4</v>
      </c>
      <c r="D45" s="3">
        <v>2.6610000000000002E-3</v>
      </c>
      <c r="E45" s="2">
        <v>30</v>
      </c>
    </row>
    <row r="46" spans="1:5" x14ac:dyDescent="0.3">
      <c r="A46" s="2">
        <v>80</v>
      </c>
      <c r="B46" s="2">
        <v>60</v>
      </c>
      <c r="C46" s="2">
        <v>5</v>
      </c>
      <c r="D46" s="3">
        <v>2.3540000000000002E-3</v>
      </c>
      <c r="E46" s="2">
        <v>27</v>
      </c>
    </row>
    <row r="47" spans="1:5" x14ac:dyDescent="0.3">
      <c r="A47" s="2">
        <v>80</v>
      </c>
      <c r="B47" s="2">
        <v>80</v>
      </c>
      <c r="C47" s="2">
        <v>1</v>
      </c>
      <c r="D47" s="3">
        <v>5.1799999999999997E-3</v>
      </c>
      <c r="E47" s="2">
        <v>32</v>
      </c>
    </row>
    <row r="48" spans="1:5" x14ac:dyDescent="0.3">
      <c r="A48" s="2">
        <v>80</v>
      </c>
      <c r="B48" s="2">
        <v>80</v>
      </c>
      <c r="C48" s="2">
        <v>2</v>
      </c>
      <c r="D48" s="3">
        <v>3.2239999999999999E-3</v>
      </c>
      <c r="E48" s="2">
        <v>34</v>
      </c>
    </row>
    <row r="49" spans="1:5" x14ac:dyDescent="0.3">
      <c r="A49" s="2">
        <v>80</v>
      </c>
      <c r="B49" s="2">
        <v>80</v>
      </c>
      <c r="C49" s="2">
        <v>3</v>
      </c>
      <c r="D49" s="3">
        <v>5.5380000000000004E-3</v>
      </c>
      <c r="E49" s="2">
        <v>38</v>
      </c>
    </row>
    <row r="50" spans="1:5" x14ac:dyDescent="0.3">
      <c r="A50" s="2">
        <v>80</v>
      </c>
      <c r="B50" s="2">
        <v>80</v>
      </c>
      <c r="C50" s="2">
        <v>4</v>
      </c>
      <c r="D50" s="3">
        <v>3.4640000000000001E-3</v>
      </c>
      <c r="E50" s="2">
        <v>37</v>
      </c>
    </row>
    <row r="51" spans="1:5" x14ac:dyDescent="0.3">
      <c r="A51" s="2">
        <v>80</v>
      </c>
      <c r="B51" s="2">
        <v>80</v>
      </c>
      <c r="C51" s="2">
        <v>5</v>
      </c>
      <c r="D51" s="3">
        <v>3.2680000000000001E-3</v>
      </c>
      <c r="E51" s="2">
        <v>36</v>
      </c>
    </row>
    <row r="52" spans="1:5" x14ac:dyDescent="0.3">
      <c r="A52" s="2">
        <v>80</v>
      </c>
      <c r="B52" s="2">
        <v>100</v>
      </c>
      <c r="C52" s="2">
        <v>1</v>
      </c>
      <c r="D52" s="3">
        <v>3.9290000000000002E-3</v>
      </c>
      <c r="E52" s="2">
        <v>42</v>
      </c>
    </row>
    <row r="53" spans="1:5" x14ac:dyDescent="0.3">
      <c r="A53" s="2">
        <v>80</v>
      </c>
      <c r="B53" s="2">
        <v>100</v>
      </c>
      <c r="C53" s="2">
        <v>2</v>
      </c>
      <c r="D53" s="3">
        <v>3.9160000000000002E-3</v>
      </c>
      <c r="E53" s="2">
        <v>42</v>
      </c>
    </row>
    <row r="54" spans="1:5" x14ac:dyDescent="0.3">
      <c r="A54" s="2">
        <v>80</v>
      </c>
      <c r="B54" s="2">
        <v>100</v>
      </c>
      <c r="C54" s="2">
        <v>3</v>
      </c>
      <c r="D54" s="3">
        <v>5.274E-3</v>
      </c>
      <c r="E54" s="2">
        <v>44</v>
      </c>
    </row>
    <row r="55" spans="1:5" x14ac:dyDescent="0.3">
      <c r="A55" s="2">
        <v>80</v>
      </c>
      <c r="B55" s="2">
        <v>100</v>
      </c>
      <c r="C55" s="2">
        <v>4</v>
      </c>
      <c r="D55" s="3">
        <v>4.1790000000000004E-3</v>
      </c>
      <c r="E55" s="2">
        <v>45</v>
      </c>
    </row>
    <row r="56" spans="1:5" x14ac:dyDescent="0.3">
      <c r="A56" s="2">
        <v>80</v>
      </c>
      <c r="B56" s="2">
        <v>100</v>
      </c>
      <c r="C56" s="2">
        <v>5</v>
      </c>
      <c r="D56" s="3">
        <v>3.6329999999999999E-3</v>
      </c>
      <c r="E56" s="2">
        <v>40</v>
      </c>
    </row>
    <row r="57" spans="1:5" x14ac:dyDescent="0.3">
      <c r="A57" s="2">
        <v>80</v>
      </c>
      <c r="B57" s="2">
        <v>120</v>
      </c>
      <c r="C57" s="2">
        <v>1</v>
      </c>
      <c r="D57" s="3">
        <v>4.3239999999999997E-3</v>
      </c>
      <c r="E57" s="2">
        <v>49</v>
      </c>
    </row>
    <row r="58" spans="1:5" x14ac:dyDescent="0.3">
      <c r="A58" s="2">
        <v>80</v>
      </c>
      <c r="B58" s="2">
        <v>120</v>
      </c>
      <c r="C58" s="2">
        <v>2</v>
      </c>
      <c r="D58" s="3">
        <v>4.0689999999999997E-3</v>
      </c>
      <c r="E58" s="2">
        <v>46</v>
      </c>
    </row>
    <row r="59" spans="1:5" x14ac:dyDescent="0.3">
      <c r="A59" s="2">
        <v>80</v>
      </c>
      <c r="B59" s="2">
        <v>120</v>
      </c>
      <c r="C59" s="2">
        <v>3</v>
      </c>
      <c r="D59" s="3">
        <v>3.9259999999999998E-3</v>
      </c>
      <c r="E59" s="2">
        <v>47</v>
      </c>
    </row>
    <row r="60" spans="1:5" x14ac:dyDescent="0.3">
      <c r="A60" s="2">
        <v>80</v>
      </c>
      <c r="B60" s="2">
        <v>120</v>
      </c>
      <c r="C60" s="2">
        <v>4</v>
      </c>
      <c r="D60" s="3">
        <v>3.8289999999999999E-3</v>
      </c>
      <c r="E60" s="2">
        <v>47</v>
      </c>
    </row>
    <row r="61" spans="1:5" x14ac:dyDescent="0.3">
      <c r="A61" s="2">
        <v>80</v>
      </c>
      <c r="B61" s="2">
        <v>120</v>
      </c>
      <c r="C61" s="2">
        <v>5</v>
      </c>
      <c r="D61" s="3">
        <v>3.986E-3</v>
      </c>
      <c r="E61" s="2">
        <v>48</v>
      </c>
    </row>
    <row r="62" spans="1:5" x14ac:dyDescent="0.3">
      <c r="A62" s="2">
        <v>120</v>
      </c>
      <c r="B62" s="2">
        <v>20</v>
      </c>
      <c r="C62" s="2">
        <v>1</v>
      </c>
      <c r="D62" s="3">
        <v>1.9589999999999998E-3</v>
      </c>
      <c r="E62" s="2">
        <v>20</v>
      </c>
    </row>
    <row r="63" spans="1:5" x14ac:dyDescent="0.3">
      <c r="A63" s="2">
        <v>120</v>
      </c>
      <c r="B63" s="2">
        <v>20</v>
      </c>
      <c r="C63" s="2">
        <v>2</v>
      </c>
      <c r="D63" s="3">
        <v>1.882E-3</v>
      </c>
      <c r="E63" s="2">
        <v>20</v>
      </c>
    </row>
    <row r="64" spans="1:5" x14ac:dyDescent="0.3">
      <c r="A64" s="2">
        <v>120</v>
      </c>
      <c r="B64" s="2">
        <v>20</v>
      </c>
      <c r="C64" s="2">
        <v>3</v>
      </c>
      <c r="D64" s="3">
        <v>1.74E-3</v>
      </c>
      <c r="E64" s="2">
        <v>18</v>
      </c>
    </row>
    <row r="65" spans="1:5" x14ac:dyDescent="0.3">
      <c r="A65" s="2">
        <v>120</v>
      </c>
      <c r="B65" s="2">
        <v>20</v>
      </c>
      <c r="C65" s="2">
        <v>4</v>
      </c>
      <c r="D65" s="3">
        <v>1.797E-3</v>
      </c>
      <c r="E65" s="2">
        <v>19</v>
      </c>
    </row>
    <row r="66" spans="1:5" x14ac:dyDescent="0.3">
      <c r="A66" s="2">
        <v>120</v>
      </c>
      <c r="B66" s="2">
        <v>20</v>
      </c>
      <c r="C66" s="2">
        <v>5</v>
      </c>
      <c r="D66" s="3">
        <v>1.8090000000000001E-3</v>
      </c>
      <c r="E66" s="2">
        <v>19</v>
      </c>
    </row>
    <row r="67" spans="1:5" x14ac:dyDescent="0.3">
      <c r="A67" s="2">
        <v>120</v>
      </c>
      <c r="B67" s="2">
        <v>40</v>
      </c>
      <c r="C67" s="2">
        <v>1</v>
      </c>
      <c r="D67" s="3">
        <v>2.3370000000000001E-3</v>
      </c>
      <c r="E67" s="2">
        <v>26</v>
      </c>
    </row>
    <row r="68" spans="1:5" x14ac:dyDescent="0.3">
      <c r="A68" s="2">
        <v>120</v>
      </c>
      <c r="B68" s="2">
        <v>40</v>
      </c>
      <c r="C68" s="2">
        <v>2</v>
      </c>
      <c r="D68" s="3">
        <v>2.3280000000000002E-3</v>
      </c>
      <c r="E68" s="2">
        <v>27</v>
      </c>
    </row>
    <row r="69" spans="1:5" x14ac:dyDescent="0.3">
      <c r="A69" s="2">
        <v>120</v>
      </c>
      <c r="B69" s="2">
        <v>40</v>
      </c>
      <c r="C69" s="2">
        <v>3</v>
      </c>
      <c r="D69" s="3">
        <v>2.2910000000000001E-3</v>
      </c>
      <c r="E69" s="2">
        <v>29</v>
      </c>
    </row>
    <row r="70" spans="1:5" x14ac:dyDescent="0.3">
      <c r="A70" s="2">
        <v>120</v>
      </c>
      <c r="B70" s="2">
        <v>40</v>
      </c>
      <c r="C70" s="2">
        <v>4</v>
      </c>
      <c r="D70" s="3">
        <v>2.3749999999999999E-3</v>
      </c>
      <c r="E70" s="2">
        <v>29</v>
      </c>
    </row>
    <row r="71" spans="1:5" x14ac:dyDescent="0.3">
      <c r="A71" s="2">
        <v>120</v>
      </c>
      <c r="B71" s="2">
        <v>40</v>
      </c>
      <c r="C71" s="2">
        <v>5</v>
      </c>
      <c r="D71" s="3">
        <v>2.3779999999999999E-3</v>
      </c>
      <c r="E71" s="2">
        <v>27</v>
      </c>
    </row>
    <row r="72" spans="1:5" x14ac:dyDescent="0.3">
      <c r="A72" s="2">
        <v>120</v>
      </c>
      <c r="B72" s="2">
        <v>60</v>
      </c>
      <c r="C72" s="2">
        <v>1</v>
      </c>
      <c r="D72" s="3">
        <v>3.552E-3</v>
      </c>
      <c r="E72" s="2">
        <v>40</v>
      </c>
    </row>
    <row r="73" spans="1:5" x14ac:dyDescent="0.3">
      <c r="A73" s="2">
        <v>120</v>
      </c>
      <c r="B73" s="2">
        <v>60</v>
      </c>
      <c r="C73" s="2">
        <v>2</v>
      </c>
      <c r="D73" s="3">
        <v>3.5739999999999999E-3</v>
      </c>
      <c r="E73" s="2">
        <v>42</v>
      </c>
    </row>
    <row r="74" spans="1:5" x14ac:dyDescent="0.3">
      <c r="A74" s="2">
        <v>120</v>
      </c>
      <c r="B74" s="2">
        <v>60</v>
      </c>
      <c r="C74" s="2">
        <v>3</v>
      </c>
      <c r="D74" s="3">
        <v>2.97E-3</v>
      </c>
      <c r="E74" s="2">
        <v>35</v>
      </c>
    </row>
    <row r="75" spans="1:5" x14ac:dyDescent="0.3">
      <c r="A75" s="2">
        <v>120</v>
      </c>
      <c r="B75" s="2">
        <v>60</v>
      </c>
      <c r="C75" s="2">
        <v>4</v>
      </c>
      <c r="D75" s="3">
        <v>3.2460000000000002E-3</v>
      </c>
      <c r="E75" s="2">
        <v>39</v>
      </c>
    </row>
    <row r="76" spans="1:5" x14ac:dyDescent="0.3">
      <c r="A76" s="2">
        <v>120</v>
      </c>
      <c r="B76" s="2">
        <v>60</v>
      </c>
      <c r="C76" s="2">
        <v>5</v>
      </c>
      <c r="D76" s="3">
        <v>3.47E-3</v>
      </c>
      <c r="E76" s="2">
        <v>41</v>
      </c>
    </row>
    <row r="77" spans="1:5" x14ac:dyDescent="0.3">
      <c r="A77" s="2">
        <v>120</v>
      </c>
      <c r="B77" s="2">
        <v>80</v>
      </c>
      <c r="C77" s="2">
        <v>1</v>
      </c>
      <c r="D77" s="3">
        <v>3.764E-3</v>
      </c>
      <c r="E77" s="2">
        <v>44</v>
      </c>
    </row>
    <row r="78" spans="1:5" x14ac:dyDescent="0.3">
      <c r="A78" s="2">
        <v>120</v>
      </c>
      <c r="B78" s="2">
        <v>80</v>
      </c>
      <c r="C78" s="2">
        <v>2</v>
      </c>
      <c r="D78" s="3">
        <v>3.47E-3</v>
      </c>
      <c r="E78" s="2">
        <v>43</v>
      </c>
    </row>
    <row r="79" spans="1:5" x14ac:dyDescent="0.3">
      <c r="A79" s="2">
        <v>120</v>
      </c>
      <c r="B79" s="2">
        <v>80</v>
      </c>
      <c r="C79" s="2">
        <v>3</v>
      </c>
      <c r="D79" s="3">
        <v>4.7959999999999999E-3</v>
      </c>
      <c r="E79" s="2">
        <v>51</v>
      </c>
    </row>
    <row r="80" spans="1:5" x14ac:dyDescent="0.3">
      <c r="A80" s="2">
        <v>120</v>
      </c>
      <c r="B80" s="2">
        <v>80</v>
      </c>
      <c r="C80" s="2">
        <v>4</v>
      </c>
      <c r="D80" s="3">
        <v>3.771E-3</v>
      </c>
      <c r="E80" s="2">
        <v>43</v>
      </c>
    </row>
    <row r="81" spans="1:5" x14ac:dyDescent="0.3">
      <c r="A81" s="2">
        <v>120</v>
      </c>
      <c r="B81" s="2">
        <v>80</v>
      </c>
      <c r="C81" s="2">
        <v>5</v>
      </c>
      <c r="D81" s="3">
        <v>4.1409999999999997E-3</v>
      </c>
      <c r="E81" s="2">
        <v>45</v>
      </c>
    </row>
    <row r="82" spans="1:5" x14ac:dyDescent="0.3">
      <c r="A82" s="2">
        <v>120</v>
      </c>
      <c r="B82" s="2">
        <v>100</v>
      </c>
      <c r="C82" s="2">
        <v>1</v>
      </c>
      <c r="D82" s="3">
        <v>4.065E-3</v>
      </c>
      <c r="E82" s="2">
        <v>48</v>
      </c>
    </row>
    <row r="83" spans="1:5" x14ac:dyDescent="0.3">
      <c r="A83" s="2">
        <v>120</v>
      </c>
      <c r="B83" s="2">
        <v>100</v>
      </c>
      <c r="C83" s="2">
        <v>2</v>
      </c>
      <c r="D83" s="3">
        <v>4.6280000000000002E-3</v>
      </c>
      <c r="E83" s="2">
        <v>52</v>
      </c>
    </row>
    <row r="84" spans="1:5" x14ac:dyDescent="0.3">
      <c r="A84" s="2">
        <v>120</v>
      </c>
      <c r="B84" s="2">
        <v>100</v>
      </c>
      <c r="C84" s="2">
        <v>3</v>
      </c>
      <c r="D84" s="3">
        <v>4.3759999999999997E-3</v>
      </c>
      <c r="E84" s="2">
        <v>55</v>
      </c>
    </row>
    <row r="85" spans="1:5" x14ac:dyDescent="0.3">
      <c r="A85" s="2">
        <v>120</v>
      </c>
      <c r="B85" s="2">
        <v>100</v>
      </c>
      <c r="C85" s="2">
        <v>4</v>
      </c>
      <c r="D85" s="3">
        <v>4.1650000000000003E-3</v>
      </c>
      <c r="E85" s="2">
        <v>54</v>
      </c>
    </row>
    <row r="86" spans="1:5" x14ac:dyDescent="0.3">
      <c r="A86" s="2">
        <v>120</v>
      </c>
      <c r="B86" s="2">
        <v>100</v>
      </c>
      <c r="C86" s="2">
        <v>5</v>
      </c>
      <c r="D86" s="3">
        <v>3.9220000000000001E-3</v>
      </c>
      <c r="E86" s="2">
        <v>50</v>
      </c>
    </row>
    <row r="87" spans="1:5" x14ac:dyDescent="0.3">
      <c r="A87" s="2">
        <v>120</v>
      </c>
      <c r="B87" s="2">
        <v>120</v>
      </c>
      <c r="C87" s="2">
        <v>1</v>
      </c>
      <c r="D87" s="3">
        <v>4.2919999999999998E-3</v>
      </c>
      <c r="E87" s="2">
        <v>53</v>
      </c>
    </row>
    <row r="88" spans="1:5" x14ac:dyDescent="0.3">
      <c r="A88" s="2">
        <v>120</v>
      </c>
      <c r="B88" s="2">
        <v>120</v>
      </c>
      <c r="C88" s="2">
        <v>2</v>
      </c>
      <c r="D88" s="3">
        <v>4.2890000000000003E-3</v>
      </c>
      <c r="E88" s="2">
        <v>53</v>
      </c>
    </row>
    <row r="89" spans="1:5" x14ac:dyDescent="0.3">
      <c r="A89" s="2">
        <v>120</v>
      </c>
      <c r="B89" s="2">
        <v>120</v>
      </c>
      <c r="C89" s="2">
        <v>3</v>
      </c>
      <c r="D89" s="3">
        <v>4.2389999999999997E-3</v>
      </c>
      <c r="E89" s="2">
        <v>55</v>
      </c>
    </row>
    <row r="90" spans="1:5" x14ac:dyDescent="0.3">
      <c r="A90" s="2">
        <v>120</v>
      </c>
      <c r="B90" s="2">
        <v>120</v>
      </c>
      <c r="C90" s="2">
        <v>4</v>
      </c>
      <c r="D90" s="3">
        <v>3.9709999999999997E-3</v>
      </c>
      <c r="E90" s="2">
        <v>54</v>
      </c>
    </row>
    <row r="91" spans="1:5" x14ac:dyDescent="0.3">
      <c r="A91" s="2">
        <v>120</v>
      </c>
      <c r="B91" s="2">
        <v>120</v>
      </c>
      <c r="C91" s="2">
        <v>5</v>
      </c>
      <c r="D91" s="3">
        <v>3.9709999999999997E-3</v>
      </c>
      <c r="E91" s="2">
        <v>52</v>
      </c>
    </row>
    <row r="92" spans="1:5" x14ac:dyDescent="0.3">
      <c r="A92" s="2">
        <v>160</v>
      </c>
      <c r="B92" s="2">
        <v>20</v>
      </c>
      <c r="C92" s="2">
        <v>1</v>
      </c>
      <c r="D92" s="3">
        <v>1.9780000000000002E-3</v>
      </c>
      <c r="E92" s="2">
        <v>22</v>
      </c>
    </row>
    <row r="93" spans="1:5" x14ac:dyDescent="0.3">
      <c r="A93" s="2">
        <v>160</v>
      </c>
      <c r="B93" s="2">
        <v>20</v>
      </c>
      <c r="C93" s="2">
        <v>2</v>
      </c>
      <c r="D93" s="3">
        <v>2.2269999999999998E-3</v>
      </c>
      <c r="E93" s="2">
        <v>26</v>
      </c>
    </row>
    <row r="94" spans="1:5" x14ac:dyDescent="0.3">
      <c r="A94" s="2">
        <v>160</v>
      </c>
      <c r="B94" s="2">
        <v>20</v>
      </c>
      <c r="C94" s="2">
        <v>3</v>
      </c>
      <c r="D94" s="3">
        <v>2.0449999999999999E-3</v>
      </c>
      <c r="E94" s="2">
        <v>23</v>
      </c>
    </row>
    <row r="95" spans="1:5" x14ac:dyDescent="0.3">
      <c r="A95" s="2">
        <v>160</v>
      </c>
      <c r="B95" s="2">
        <v>20</v>
      </c>
      <c r="C95" s="2">
        <v>4</v>
      </c>
      <c r="D95" s="3">
        <v>2.2109999999999999E-3</v>
      </c>
      <c r="E95" s="2">
        <v>26</v>
      </c>
    </row>
    <row r="96" spans="1:5" x14ac:dyDescent="0.3">
      <c r="A96" s="2">
        <v>160</v>
      </c>
      <c r="B96" s="2">
        <v>20</v>
      </c>
      <c r="C96" s="2">
        <v>5</v>
      </c>
      <c r="D96" s="3">
        <v>2.0279999999999999E-3</v>
      </c>
      <c r="E96" s="2">
        <v>22</v>
      </c>
    </row>
    <row r="97" spans="1:5" x14ac:dyDescent="0.3">
      <c r="A97" s="2">
        <v>160</v>
      </c>
      <c r="B97" s="2">
        <v>40</v>
      </c>
      <c r="C97" s="2">
        <v>1</v>
      </c>
      <c r="D97" s="3">
        <v>3.091E-3</v>
      </c>
      <c r="E97" s="2">
        <v>34</v>
      </c>
    </row>
    <row r="98" spans="1:5" x14ac:dyDescent="0.3">
      <c r="A98" s="2">
        <v>160</v>
      </c>
      <c r="B98" s="2">
        <v>40</v>
      </c>
      <c r="C98" s="2">
        <v>2</v>
      </c>
      <c r="D98" s="3">
        <v>3.532E-3</v>
      </c>
      <c r="E98" s="2">
        <v>42</v>
      </c>
    </row>
    <row r="99" spans="1:5" x14ac:dyDescent="0.3">
      <c r="A99" s="2">
        <v>160</v>
      </c>
      <c r="B99" s="2">
        <v>40</v>
      </c>
      <c r="C99" s="2">
        <v>3</v>
      </c>
      <c r="D99" s="3">
        <v>2.9220000000000001E-3</v>
      </c>
      <c r="E99" s="2">
        <v>34</v>
      </c>
    </row>
    <row r="100" spans="1:5" x14ac:dyDescent="0.3">
      <c r="A100" s="2">
        <v>160</v>
      </c>
      <c r="B100" s="2">
        <v>40</v>
      </c>
      <c r="C100" s="2">
        <v>4</v>
      </c>
      <c r="D100" s="3">
        <v>3.0530000000000002E-3</v>
      </c>
      <c r="E100" s="2">
        <v>36</v>
      </c>
    </row>
    <row r="101" spans="1:5" x14ac:dyDescent="0.3">
      <c r="A101" s="2">
        <v>160</v>
      </c>
      <c r="B101" s="2">
        <v>40</v>
      </c>
      <c r="C101" s="2">
        <v>5</v>
      </c>
      <c r="D101" s="3">
        <v>2.9852E-2</v>
      </c>
      <c r="E101" s="2">
        <v>35</v>
      </c>
    </row>
    <row r="102" spans="1:5" x14ac:dyDescent="0.3">
      <c r="A102" s="2">
        <v>160</v>
      </c>
      <c r="B102" s="2">
        <v>60</v>
      </c>
      <c r="C102" s="2">
        <v>1</v>
      </c>
      <c r="D102" s="3">
        <v>4.9170000000000004E-3</v>
      </c>
      <c r="E102" s="2">
        <v>48</v>
      </c>
    </row>
    <row r="103" spans="1:5" x14ac:dyDescent="0.3">
      <c r="A103" s="2">
        <v>160</v>
      </c>
      <c r="B103" s="2">
        <v>60</v>
      </c>
      <c r="C103" s="2">
        <v>2</v>
      </c>
      <c r="D103" s="3">
        <v>4.1879999999999999E-3</v>
      </c>
      <c r="E103" s="2">
        <v>48</v>
      </c>
    </row>
    <row r="104" spans="1:5" x14ac:dyDescent="0.3">
      <c r="A104" s="2">
        <v>160</v>
      </c>
      <c r="B104" s="2">
        <v>60</v>
      </c>
      <c r="C104" s="2">
        <v>3</v>
      </c>
      <c r="D104" s="3">
        <v>1.1209E-2</v>
      </c>
      <c r="E104" s="2">
        <v>38</v>
      </c>
    </row>
    <row r="105" spans="1:5" x14ac:dyDescent="0.3">
      <c r="A105" s="2">
        <v>160</v>
      </c>
      <c r="B105" s="2">
        <v>60</v>
      </c>
      <c r="C105" s="2">
        <v>4</v>
      </c>
      <c r="D105" s="3">
        <v>4.2160000000000001E-3</v>
      </c>
      <c r="E105" s="2">
        <v>47</v>
      </c>
    </row>
    <row r="106" spans="1:5" x14ac:dyDescent="0.3">
      <c r="A106" s="2">
        <v>160</v>
      </c>
      <c r="B106" s="2">
        <v>60</v>
      </c>
      <c r="C106" s="2">
        <v>5</v>
      </c>
      <c r="D106" s="3">
        <v>4.2750000000000002E-3</v>
      </c>
      <c r="E106" s="2">
        <v>48</v>
      </c>
    </row>
    <row r="107" spans="1:5" x14ac:dyDescent="0.3">
      <c r="A107" s="2">
        <v>160</v>
      </c>
      <c r="B107" s="2">
        <v>80</v>
      </c>
      <c r="C107" s="2">
        <v>1</v>
      </c>
      <c r="D107" s="3">
        <v>4.0629999999999998E-3</v>
      </c>
      <c r="E107" s="2">
        <v>51</v>
      </c>
    </row>
    <row r="108" spans="1:5" x14ac:dyDescent="0.3">
      <c r="A108" s="2">
        <v>160</v>
      </c>
      <c r="B108" s="2">
        <v>80</v>
      </c>
      <c r="C108" s="2">
        <v>2</v>
      </c>
      <c r="D108" s="3">
        <v>4.6870000000000002E-3</v>
      </c>
      <c r="E108" s="2">
        <v>54</v>
      </c>
    </row>
    <row r="109" spans="1:5" x14ac:dyDescent="0.3">
      <c r="A109" s="2">
        <v>160</v>
      </c>
      <c r="B109" s="2">
        <v>80</v>
      </c>
      <c r="C109" s="2">
        <v>3</v>
      </c>
      <c r="D109" s="3">
        <v>4.5399999999999998E-3</v>
      </c>
      <c r="E109" s="2">
        <v>56</v>
      </c>
    </row>
    <row r="110" spans="1:5" x14ac:dyDescent="0.3">
      <c r="A110" s="2">
        <v>160</v>
      </c>
      <c r="B110" s="2">
        <v>80</v>
      </c>
      <c r="C110" s="2">
        <v>4</v>
      </c>
      <c r="D110" s="3">
        <v>4.215E-3</v>
      </c>
      <c r="E110" s="2">
        <v>51</v>
      </c>
    </row>
    <row r="111" spans="1:5" x14ac:dyDescent="0.3">
      <c r="A111" s="2">
        <v>160</v>
      </c>
      <c r="B111" s="2">
        <v>80</v>
      </c>
      <c r="C111" s="2">
        <v>5</v>
      </c>
      <c r="D111" s="3">
        <v>4.1349999999999998E-3</v>
      </c>
      <c r="E111" s="2">
        <v>54</v>
      </c>
    </row>
    <row r="112" spans="1:5" x14ac:dyDescent="0.3">
      <c r="A112" s="2">
        <v>160</v>
      </c>
      <c r="B112" s="2">
        <v>100</v>
      </c>
      <c r="C112" s="2">
        <v>1</v>
      </c>
      <c r="D112" s="3">
        <v>4.0949999999999997E-3</v>
      </c>
      <c r="E112" s="2">
        <v>52</v>
      </c>
    </row>
    <row r="113" spans="1:5" x14ac:dyDescent="0.3">
      <c r="A113" s="2">
        <v>160</v>
      </c>
      <c r="B113" s="2">
        <v>100</v>
      </c>
      <c r="C113" s="2">
        <v>2</v>
      </c>
      <c r="D113" s="3">
        <v>5.0080000000000003E-3</v>
      </c>
      <c r="E113" s="2">
        <v>61</v>
      </c>
    </row>
    <row r="114" spans="1:5" x14ac:dyDescent="0.3">
      <c r="A114" s="2">
        <v>160</v>
      </c>
      <c r="B114" s="2">
        <v>100</v>
      </c>
      <c r="C114" s="2">
        <v>3</v>
      </c>
      <c r="D114" s="3">
        <v>4.7629999999999999E-3</v>
      </c>
      <c r="E114" s="2">
        <v>58</v>
      </c>
    </row>
    <row r="115" spans="1:5" x14ac:dyDescent="0.3">
      <c r="A115" s="2">
        <v>160</v>
      </c>
      <c r="B115" s="2">
        <v>100</v>
      </c>
      <c r="C115" s="2">
        <v>4</v>
      </c>
      <c r="D115" s="3">
        <v>4.4320000000000002E-3</v>
      </c>
      <c r="E115" s="2">
        <v>57</v>
      </c>
    </row>
    <row r="116" spans="1:5" x14ac:dyDescent="0.3">
      <c r="A116" s="2">
        <v>160</v>
      </c>
      <c r="B116" s="2">
        <v>100</v>
      </c>
      <c r="C116" s="2">
        <v>5</v>
      </c>
      <c r="D116" s="3">
        <v>4.4920000000000003E-3</v>
      </c>
      <c r="E116" s="2">
        <v>58</v>
      </c>
    </row>
    <row r="117" spans="1:5" x14ac:dyDescent="0.3">
      <c r="A117" s="2">
        <v>160</v>
      </c>
      <c r="B117" s="2">
        <v>120</v>
      </c>
      <c r="C117" s="2">
        <v>1</v>
      </c>
      <c r="D117" s="3">
        <v>4.3210000000000002E-3</v>
      </c>
      <c r="E117" s="2">
        <v>55</v>
      </c>
    </row>
    <row r="118" spans="1:5" x14ac:dyDescent="0.3">
      <c r="A118" s="2">
        <v>160</v>
      </c>
      <c r="B118" s="2">
        <v>120</v>
      </c>
      <c r="C118" s="2">
        <v>2</v>
      </c>
      <c r="D118" s="3">
        <v>5.0850000000000001E-3</v>
      </c>
      <c r="E118" s="2">
        <v>62</v>
      </c>
    </row>
    <row r="119" spans="1:5" x14ac:dyDescent="0.3">
      <c r="A119" s="2">
        <v>160</v>
      </c>
      <c r="B119" s="2">
        <v>120</v>
      </c>
      <c r="C119" s="2">
        <v>3</v>
      </c>
      <c r="D119" s="3">
        <v>4.5240000000000002E-3</v>
      </c>
      <c r="E119" s="2">
        <v>58</v>
      </c>
    </row>
    <row r="120" spans="1:5" x14ac:dyDescent="0.3">
      <c r="A120" s="2">
        <v>160</v>
      </c>
      <c r="B120" s="2">
        <v>120</v>
      </c>
      <c r="C120" s="2">
        <v>4</v>
      </c>
      <c r="D120" s="3">
        <v>4.7580000000000001E-3</v>
      </c>
      <c r="E120" s="2">
        <v>59</v>
      </c>
    </row>
    <row r="121" spans="1:5" x14ac:dyDescent="0.3">
      <c r="A121" s="2">
        <v>160</v>
      </c>
      <c r="B121" s="2">
        <v>120</v>
      </c>
      <c r="C121" s="2">
        <v>5</v>
      </c>
      <c r="D121" s="3">
        <v>4.4079999999999996E-3</v>
      </c>
      <c r="E121" s="2">
        <v>58</v>
      </c>
    </row>
    <row r="122" spans="1:5" x14ac:dyDescent="0.3">
      <c r="A122" s="2">
        <v>200</v>
      </c>
      <c r="B122" s="2">
        <v>20</v>
      </c>
      <c r="C122" s="2">
        <v>1</v>
      </c>
      <c r="D122" s="3">
        <v>2.4260000000000002E-3</v>
      </c>
      <c r="E122" s="2">
        <v>28</v>
      </c>
    </row>
    <row r="123" spans="1:5" x14ac:dyDescent="0.3">
      <c r="A123" s="2">
        <v>200</v>
      </c>
      <c r="B123" s="2">
        <v>20</v>
      </c>
      <c r="C123" s="2">
        <v>2</v>
      </c>
      <c r="D123" s="3">
        <v>2.3999999999999998E-3</v>
      </c>
      <c r="E123" s="2">
        <v>29</v>
      </c>
    </row>
    <row r="124" spans="1:5" x14ac:dyDescent="0.3">
      <c r="A124" s="2">
        <v>200</v>
      </c>
      <c r="B124" s="2">
        <v>20</v>
      </c>
      <c r="C124" s="2">
        <v>3</v>
      </c>
      <c r="D124" s="3">
        <v>3.1879999999999999E-3</v>
      </c>
      <c r="E124" s="2">
        <v>34</v>
      </c>
    </row>
    <row r="125" spans="1:5" x14ac:dyDescent="0.3">
      <c r="A125" s="2">
        <v>200</v>
      </c>
      <c r="B125" s="2">
        <v>20</v>
      </c>
      <c r="C125" s="2">
        <v>4</v>
      </c>
      <c r="D125" s="3">
        <v>2.7169999999999998E-3</v>
      </c>
      <c r="E125" s="2">
        <v>33</v>
      </c>
    </row>
    <row r="126" spans="1:5" x14ac:dyDescent="0.3">
      <c r="A126" s="2">
        <v>200</v>
      </c>
      <c r="B126" s="2">
        <v>20</v>
      </c>
      <c r="C126" s="2">
        <v>5</v>
      </c>
      <c r="D126" s="3">
        <v>2.5339999999999998E-3</v>
      </c>
      <c r="E126" s="2">
        <v>31</v>
      </c>
    </row>
    <row r="127" spans="1:5" x14ac:dyDescent="0.3">
      <c r="A127" s="2">
        <v>200</v>
      </c>
      <c r="B127" s="2">
        <v>40</v>
      </c>
      <c r="C127" s="2">
        <v>1</v>
      </c>
      <c r="D127" s="3">
        <v>6.3629999999999997E-3</v>
      </c>
      <c r="E127" s="2">
        <v>41</v>
      </c>
    </row>
    <row r="128" spans="1:5" x14ac:dyDescent="0.3">
      <c r="A128" s="2">
        <v>200</v>
      </c>
      <c r="B128" s="2">
        <v>40</v>
      </c>
      <c r="C128" s="2">
        <v>2</v>
      </c>
      <c r="D128" s="3">
        <v>3.4390000000000002E-3</v>
      </c>
      <c r="E128" s="2">
        <v>41</v>
      </c>
    </row>
    <row r="129" spans="1:5" x14ac:dyDescent="0.3">
      <c r="A129" s="2">
        <v>200</v>
      </c>
      <c r="B129" s="2">
        <v>40</v>
      </c>
      <c r="C129" s="2">
        <v>3</v>
      </c>
      <c r="D129" s="3">
        <v>3.3860000000000001E-3</v>
      </c>
      <c r="E129" s="2">
        <v>45</v>
      </c>
    </row>
    <row r="130" spans="1:5" x14ac:dyDescent="0.3">
      <c r="A130" s="2">
        <v>200</v>
      </c>
      <c r="B130" s="2">
        <v>40</v>
      </c>
      <c r="C130" s="2">
        <v>4</v>
      </c>
      <c r="D130" s="3">
        <v>3.4859999999999999E-3</v>
      </c>
      <c r="E130" s="2">
        <v>45</v>
      </c>
    </row>
    <row r="131" spans="1:5" x14ac:dyDescent="0.3">
      <c r="A131" s="2">
        <v>200</v>
      </c>
      <c r="B131" s="2">
        <v>40</v>
      </c>
      <c r="C131" s="2">
        <v>5</v>
      </c>
      <c r="D131" s="3">
        <v>3.1719999999999999E-3</v>
      </c>
      <c r="E131" s="2">
        <v>38</v>
      </c>
    </row>
    <row r="132" spans="1:5" x14ac:dyDescent="0.3">
      <c r="A132" s="2">
        <v>200</v>
      </c>
      <c r="B132" s="2">
        <v>60</v>
      </c>
      <c r="C132" s="2">
        <v>1</v>
      </c>
      <c r="D132" s="3">
        <v>4.4549999999999998E-3</v>
      </c>
      <c r="E132" s="2">
        <v>51</v>
      </c>
    </row>
    <row r="133" spans="1:5" x14ac:dyDescent="0.3">
      <c r="A133" s="2">
        <v>200</v>
      </c>
      <c r="B133" s="2">
        <v>60</v>
      </c>
      <c r="C133" s="2">
        <v>2</v>
      </c>
      <c r="D133" s="3">
        <v>4.4260000000000002E-3</v>
      </c>
      <c r="E133" s="2">
        <v>55</v>
      </c>
    </row>
    <row r="134" spans="1:5" x14ac:dyDescent="0.3">
      <c r="A134" s="2">
        <v>200</v>
      </c>
      <c r="B134" s="2">
        <v>60</v>
      </c>
      <c r="C134" s="2">
        <v>3</v>
      </c>
      <c r="D134" s="3">
        <v>3.434E-3</v>
      </c>
      <c r="E134" s="2">
        <v>47</v>
      </c>
    </row>
    <row r="135" spans="1:5" x14ac:dyDescent="0.3">
      <c r="A135" s="2">
        <v>200</v>
      </c>
      <c r="B135" s="2">
        <v>60</v>
      </c>
      <c r="C135" s="2">
        <v>4</v>
      </c>
      <c r="D135" s="3">
        <v>4.2009999999999999E-3</v>
      </c>
      <c r="E135" s="2">
        <v>54</v>
      </c>
    </row>
    <row r="136" spans="1:5" x14ac:dyDescent="0.3">
      <c r="A136" s="2">
        <v>200</v>
      </c>
      <c r="B136" s="2">
        <v>60</v>
      </c>
      <c r="C136" s="2">
        <v>5</v>
      </c>
      <c r="D136" s="3">
        <v>4.189E-3</v>
      </c>
      <c r="E136" s="2">
        <v>53</v>
      </c>
    </row>
    <row r="137" spans="1:5" x14ac:dyDescent="0.3">
      <c r="A137" s="2">
        <v>200</v>
      </c>
      <c r="B137" s="2">
        <v>80</v>
      </c>
      <c r="C137" s="2">
        <v>1</v>
      </c>
      <c r="D137" s="3">
        <v>4.3959999999999997E-3</v>
      </c>
      <c r="E137" s="2">
        <v>55</v>
      </c>
    </row>
    <row r="138" spans="1:5" x14ac:dyDescent="0.3">
      <c r="A138" s="2">
        <v>200</v>
      </c>
      <c r="B138" s="2">
        <v>80</v>
      </c>
      <c r="C138" s="2">
        <v>2</v>
      </c>
      <c r="D138" s="3">
        <v>6.1929999999999997E-3</v>
      </c>
      <c r="E138" s="2">
        <v>59</v>
      </c>
    </row>
    <row r="139" spans="1:5" x14ac:dyDescent="0.3">
      <c r="A139" s="2">
        <v>200</v>
      </c>
      <c r="B139" s="2">
        <v>80</v>
      </c>
      <c r="C139" s="2">
        <v>3</v>
      </c>
      <c r="D139" s="3">
        <v>4.3990000000000001E-3</v>
      </c>
      <c r="E139" s="2">
        <v>58</v>
      </c>
    </row>
    <row r="140" spans="1:5" x14ac:dyDescent="0.3">
      <c r="A140" s="2">
        <v>200</v>
      </c>
      <c r="B140" s="2">
        <v>80</v>
      </c>
      <c r="C140" s="2">
        <v>4</v>
      </c>
      <c r="D140" s="3">
        <v>4.1460000000000004E-3</v>
      </c>
      <c r="E140" s="2">
        <v>53</v>
      </c>
    </row>
    <row r="141" spans="1:5" x14ac:dyDescent="0.3">
      <c r="A141" s="2">
        <v>200</v>
      </c>
      <c r="B141" s="2">
        <v>80</v>
      </c>
      <c r="C141" s="2">
        <v>5</v>
      </c>
      <c r="D141" s="3">
        <v>4.5570000000000003E-3</v>
      </c>
      <c r="E141" s="2">
        <v>53</v>
      </c>
    </row>
    <row r="142" spans="1:5" x14ac:dyDescent="0.3">
      <c r="A142" s="2">
        <v>200</v>
      </c>
      <c r="B142" s="2">
        <v>100</v>
      </c>
      <c r="C142" s="2">
        <v>1</v>
      </c>
      <c r="D142" s="3">
        <v>4.6560000000000004E-3</v>
      </c>
      <c r="E142" s="2">
        <v>59</v>
      </c>
    </row>
    <row r="143" spans="1:5" x14ac:dyDescent="0.3">
      <c r="A143" s="2">
        <v>200</v>
      </c>
      <c r="B143" s="2">
        <v>100</v>
      </c>
      <c r="C143" s="2">
        <v>2</v>
      </c>
      <c r="D143" s="3">
        <v>4.7650000000000001E-3</v>
      </c>
      <c r="E143" s="2">
        <v>61</v>
      </c>
    </row>
    <row r="144" spans="1:5" x14ac:dyDescent="0.3">
      <c r="A144" s="2">
        <v>200</v>
      </c>
      <c r="B144" s="2">
        <v>100</v>
      </c>
      <c r="C144" s="2">
        <v>3</v>
      </c>
      <c r="D144" s="3">
        <v>4.6870000000000002E-3</v>
      </c>
      <c r="E144" s="2">
        <v>62</v>
      </c>
    </row>
    <row r="145" spans="1:5" x14ac:dyDescent="0.3">
      <c r="A145" s="2">
        <v>200</v>
      </c>
      <c r="B145" s="2">
        <v>100</v>
      </c>
      <c r="C145" s="2">
        <v>4</v>
      </c>
      <c r="D145" s="3">
        <v>4.3949999999999996E-3</v>
      </c>
      <c r="E145" s="2">
        <v>60</v>
      </c>
    </row>
    <row r="146" spans="1:5" x14ac:dyDescent="0.3">
      <c r="A146" s="2">
        <v>200</v>
      </c>
      <c r="B146" s="2">
        <v>100</v>
      </c>
      <c r="C146" s="2">
        <v>5</v>
      </c>
      <c r="D146" s="3">
        <v>4.5300000000000002E-3</v>
      </c>
      <c r="E146" s="2">
        <v>60</v>
      </c>
    </row>
    <row r="147" spans="1:5" x14ac:dyDescent="0.3">
      <c r="A147" s="2">
        <v>200</v>
      </c>
      <c r="B147" s="2">
        <v>120</v>
      </c>
      <c r="C147" s="2">
        <v>1</v>
      </c>
      <c r="D147" s="3">
        <v>4.2779999999999997E-3</v>
      </c>
      <c r="E147" s="2">
        <v>59</v>
      </c>
    </row>
    <row r="148" spans="1:5" x14ac:dyDescent="0.3">
      <c r="A148" s="2">
        <v>200</v>
      </c>
      <c r="B148" s="2">
        <v>120</v>
      </c>
      <c r="C148" s="2">
        <v>2</v>
      </c>
      <c r="D148" s="3">
        <v>4.6930000000000001E-3</v>
      </c>
      <c r="E148" s="2">
        <v>62</v>
      </c>
    </row>
    <row r="149" spans="1:5" x14ac:dyDescent="0.3">
      <c r="A149" s="2">
        <v>200</v>
      </c>
      <c r="B149" s="2">
        <v>120</v>
      </c>
      <c r="C149" s="2">
        <v>3</v>
      </c>
      <c r="D149" s="3">
        <v>5.6059999999999999E-3</v>
      </c>
      <c r="E149" s="2">
        <v>62</v>
      </c>
    </row>
    <row r="150" spans="1:5" x14ac:dyDescent="0.3">
      <c r="A150" s="2">
        <v>200</v>
      </c>
      <c r="B150" s="2">
        <v>120</v>
      </c>
      <c r="C150" s="2">
        <v>4</v>
      </c>
      <c r="D150" s="3">
        <v>4.0309999999999999E-3</v>
      </c>
      <c r="E150" s="2">
        <v>60</v>
      </c>
    </row>
    <row r="151" spans="1:5" x14ac:dyDescent="0.3">
      <c r="A151" s="2">
        <v>200</v>
      </c>
      <c r="B151" s="2">
        <v>120</v>
      </c>
      <c r="C151" s="2">
        <v>5</v>
      </c>
      <c r="D151" s="3">
        <v>4.4060000000000002E-3</v>
      </c>
      <c r="E151" s="2">
        <v>60</v>
      </c>
    </row>
    <row r="152" spans="1:5" x14ac:dyDescent="0.3">
      <c r="A152" s="2">
        <v>240</v>
      </c>
      <c r="B152" s="2">
        <v>20</v>
      </c>
      <c r="C152" s="2">
        <v>1</v>
      </c>
      <c r="D152" s="3">
        <v>2.686E-3</v>
      </c>
      <c r="E152" s="2">
        <v>33</v>
      </c>
    </row>
    <row r="153" spans="1:5" x14ac:dyDescent="0.3">
      <c r="A153" s="2">
        <v>240</v>
      </c>
      <c r="B153" s="2">
        <v>20</v>
      </c>
      <c r="C153" s="2">
        <v>2</v>
      </c>
      <c r="D153" s="3">
        <v>3.4949999999999998E-3</v>
      </c>
      <c r="E153" s="2">
        <v>38</v>
      </c>
    </row>
    <row r="154" spans="1:5" x14ac:dyDescent="0.3">
      <c r="A154" s="2">
        <v>240</v>
      </c>
      <c r="B154" s="2">
        <v>20</v>
      </c>
      <c r="C154" s="2">
        <v>3</v>
      </c>
      <c r="D154" s="3">
        <v>2.8449999999999999E-3</v>
      </c>
      <c r="E154" s="2">
        <v>37</v>
      </c>
    </row>
    <row r="155" spans="1:5" x14ac:dyDescent="0.3">
      <c r="A155" s="2">
        <v>240</v>
      </c>
      <c r="B155" s="2">
        <v>20</v>
      </c>
      <c r="C155" s="2">
        <v>4</v>
      </c>
      <c r="D155" s="3">
        <v>2.9610000000000001E-3</v>
      </c>
      <c r="E155" s="2">
        <v>35</v>
      </c>
    </row>
    <row r="156" spans="1:5" x14ac:dyDescent="0.3">
      <c r="A156" s="2">
        <v>240</v>
      </c>
      <c r="B156" s="2">
        <v>20</v>
      </c>
      <c r="C156" s="2">
        <v>5</v>
      </c>
      <c r="D156" s="3">
        <v>2.6719999999999999E-3</v>
      </c>
      <c r="E156" s="2">
        <v>35</v>
      </c>
    </row>
    <row r="157" spans="1:5" x14ac:dyDescent="0.3">
      <c r="A157" s="2">
        <v>240</v>
      </c>
      <c r="B157" s="2">
        <v>40</v>
      </c>
      <c r="C157" s="2">
        <v>1</v>
      </c>
      <c r="D157" s="3">
        <v>3.2810000000000001E-3</v>
      </c>
      <c r="E157" s="2">
        <v>43</v>
      </c>
    </row>
    <row r="158" spans="1:5" x14ac:dyDescent="0.3">
      <c r="A158" s="2">
        <v>240</v>
      </c>
      <c r="B158" s="2">
        <v>40</v>
      </c>
      <c r="C158" s="2">
        <v>2</v>
      </c>
      <c r="D158" s="3">
        <v>3.9789999999999999E-3</v>
      </c>
      <c r="E158" s="2">
        <v>48</v>
      </c>
    </row>
    <row r="159" spans="1:5" x14ac:dyDescent="0.3">
      <c r="A159" s="2">
        <v>240</v>
      </c>
      <c r="B159" s="2">
        <v>40</v>
      </c>
      <c r="C159" s="2">
        <v>3</v>
      </c>
      <c r="D159" s="3">
        <v>4.1830000000000001E-3</v>
      </c>
      <c r="E159" s="2">
        <v>50</v>
      </c>
    </row>
    <row r="160" spans="1:5" x14ac:dyDescent="0.3">
      <c r="A160" s="2">
        <v>240</v>
      </c>
      <c r="B160" s="2">
        <v>40</v>
      </c>
      <c r="C160" s="2">
        <v>4</v>
      </c>
      <c r="D160" s="3">
        <v>3.5959999999999998E-3</v>
      </c>
      <c r="E160" s="2">
        <v>47</v>
      </c>
    </row>
    <row r="161" spans="1:5" x14ac:dyDescent="0.3">
      <c r="A161" s="2">
        <v>240</v>
      </c>
      <c r="B161" s="2">
        <v>40</v>
      </c>
      <c r="C161" s="2">
        <v>5</v>
      </c>
      <c r="D161" s="3">
        <v>3.506E-3</v>
      </c>
      <c r="E161" s="2">
        <v>44</v>
      </c>
    </row>
    <row r="162" spans="1:5" x14ac:dyDescent="0.3">
      <c r="A162" s="2">
        <v>240</v>
      </c>
      <c r="B162" s="2">
        <v>60</v>
      </c>
      <c r="C162" s="2">
        <v>1</v>
      </c>
      <c r="D162" s="3">
        <v>4.6169999999999996E-3</v>
      </c>
      <c r="E162" s="2">
        <v>54</v>
      </c>
    </row>
    <row r="163" spans="1:5" x14ac:dyDescent="0.3">
      <c r="A163" s="2">
        <v>240</v>
      </c>
      <c r="B163" s="2">
        <v>60</v>
      </c>
      <c r="C163" s="2">
        <v>2</v>
      </c>
      <c r="D163" s="3">
        <v>3.9490000000000003E-3</v>
      </c>
      <c r="E163" s="2">
        <v>55</v>
      </c>
    </row>
    <row r="164" spans="1:5" x14ac:dyDescent="0.3">
      <c r="A164" s="2">
        <v>240</v>
      </c>
      <c r="B164" s="2">
        <v>60</v>
      </c>
      <c r="C164" s="2">
        <v>3</v>
      </c>
      <c r="D164" s="3">
        <v>4.0000000000000001E-3</v>
      </c>
      <c r="E164" s="2">
        <v>51</v>
      </c>
    </row>
    <row r="165" spans="1:5" x14ac:dyDescent="0.3">
      <c r="A165" s="2">
        <v>240</v>
      </c>
      <c r="B165" s="2">
        <v>60</v>
      </c>
      <c r="C165" s="2">
        <v>4</v>
      </c>
      <c r="D165" s="3">
        <v>4.1989999999999996E-3</v>
      </c>
      <c r="E165" s="2">
        <v>55</v>
      </c>
    </row>
    <row r="166" spans="1:5" x14ac:dyDescent="0.3">
      <c r="A166" s="2">
        <v>240</v>
      </c>
      <c r="B166" s="2">
        <v>60</v>
      </c>
      <c r="C166" s="2">
        <v>5</v>
      </c>
      <c r="D166" s="3">
        <v>4.2269999999999999E-3</v>
      </c>
      <c r="E166" s="2">
        <v>56</v>
      </c>
    </row>
    <row r="167" spans="1:5" x14ac:dyDescent="0.3">
      <c r="A167" s="2">
        <v>240</v>
      </c>
      <c r="B167" s="2">
        <v>80</v>
      </c>
      <c r="C167" s="2">
        <v>1</v>
      </c>
      <c r="D167" s="3">
        <v>4.2859999999999999E-3</v>
      </c>
      <c r="E167" s="2">
        <v>57</v>
      </c>
    </row>
    <row r="168" spans="1:5" x14ac:dyDescent="0.3">
      <c r="A168" s="2">
        <v>240</v>
      </c>
      <c r="B168" s="2">
        <v>80</v>
      </c>
      <c r="C168" s="2">
        <v>2</v>
      </c>
      <c r="D168" s="3">
        <v>4.679E-3</v>
      </c>
      <c r="E168" s="2">
        <v>60</v>
      </c>
    </row>
    <row r="169" spans="1:5" x14ac:dyDescent="0.3">
      <c r="A169" s="2">
        <v>240</v>
      </c>
      <c r="B169" s="2">
        <v>80</v>
      </c>
      <c r="C169" s="2">
        <v>3</v>
      </c>
      <c r="D169" s="3">
        <v>4.542E-3</v>
      </c>
      <c r="E169" s="2">
        <v>59</v>
      </c>
    </row>
    <row r="170" spans="1:5" x14ac:dyDescent="0.3">
      <c r="A170" s="2">
        <v>240</v>
      </c>
      <c r="B170" s="2">
        <v>80</v>
      </c>
      <c r="C170" s="2">
        <v>4</v>
      </c>
      <c r="D170" s="3">
        <v>4.1079999999999997E-3</v>
      </c>
      <c r="E170" s="2">
        <v>59</v>
      </c>
    </row>
    <row r="171" spans="1:5" x14ac:dyDescent="0.3">
      <c r="A171" s="2">
        <v>240</v>
      </c>
      <c r="B171" s="2">
        <v>80</v>
      </c>
      <c r="C171" s="2">
        <v>5</v>
      </c>
      <c r="D171" s="3">
        <v>4.6119999999999998E-3</v>
      </c>
      <c r="E171" s="2">
        <v>58</v>
      </c>
    </row>
    <row r="172" spans="1:5" x14ac:dyDescent="0.3">
      <c r="A172" s="2">
        <v>240</v>
      </c>
      <c r="B172" s="2">
        <v>100</v>
      </c>
      <c r="C172" s="2">
        <v>1</v>
      </c>
      <c r="D172" s="3">
        <v>4.5120000000000004E-3</v>
      </c>
      <c r="E172" s="2">
        <v>62</v>
      </c>
    </row>
    <row r="173" spans="1:5" x14ac:dyDescent="0.3">
      <c r="A173" s="2">
        <v>240</v>
      </c>
      <c r="B173" s="2">
        <v>100</v>
      </c>
      <c r="C173" s="2">
        <v>2</v>
      </c>
      <c r="D173" s="3">
        <v>4.3020000000000003E-3</v>
      </c>
      <c r="E173" s="2">
        <v>61</v>
      </c>
    </row>
    <row r="174" spans="1:5" x14ac:dyDescent="0.3">
      <c r="A174" s="2">
        <v>240</v>
      </c>
      <c r="B174" s="2">
        <v>100</v>
      </c>
      <c r="C174" s="2">
        <v>3</v>
      </c>
      <c r="D174" s="3">
        <v>4.8199999999999996E-3</v>
      </c>
      <c r="E174" s="2">
        <v>63</v>
      </c>
    </row>
    <row r="175" spans="1:5" x14ac:dyDescent="0.3">
      <c r="A175" s="2">
        <v>240</v>
      </c>
      <c r="B175" s="2">
        <v>100</v>
      </c>
      <c r="C175" s="2">
        <v>4</v>
      </c>
      <c r="D175" s="3">
        <v>4.2880000000000001E-3</v>
      </c>
      <c r="E175" s="2">
        <v>62</v>
      </c>
    </row>
    <row r="176" spans="1:5" x14ac:dyDescent="0.3">
      <c r="A176" s="2">
        <v>240</v>
      </c>
      <c r="B176" s="2">
        <v>100</v>
      </c>
      <c r="C176" s="2">
        <v>5</v>
      </c>
      <c r="D176" s="3">
        <v>4.6080000000000001E-3</v>
      </c>
      <c r="E176" s="2">
        <v>62</v>
      </c>
    </row>
    <row r="177" spans="1:5" x14ac:dyDescent="0.3">
      <c r="A177" s="2">
        <v>240</v>
      </c>
      <c r="B177" s="2">
        <v>120</v>
      </c>
      <c r="C177" s="2">
        <v>1</v>
      </c>
      <c r="D177" s="3">
        <v>4.1980000000000003E-3</v>
      </c>
      <c r="E177" s="2">
        <v>62</v>
      </c>
    </row>
    <row r="178" spans="1:5" x14ac:dyDescent="0.3">
      <c r="A178" s="2">
        <v>240</v>
      </c>
      <c r="B178" s="2">
        <v>120</v>
      </c>
      <c r="C178" s="2">
        <v>2</v>
      </c>
      <c r="D178" s="3">
        <v>4.7039999999999998E-3</v>
      </c>
      <c r="E178" s="2">
        <v>62</v>
      </c>
    </row>
    <row r="179" spans="1:5" x14ac:dyDescent="0.3">
      <c r="A179" s="2">
        <v>240</v>
      </c>
      <c r="B179" s="2">
        <v>120</v>
      </c>
      <c r="C179" s="2">
        <v>3</v>
      </c>
      <c r="D179" s="3">
        <v>4.6730000000000001E-3</v>
      </c>
      <c r="E179" s="2">
        <v>63</v>
      </c>
    </row>
    <row r="180" spans="1:5" x14ac:dyDescent="0.3">
      <c r="A180" s="2">
        <v>240</v>
      </c>
      <c r="B180" s="2">
        <v>120</v>
      </c>
      <c r="C180" s="2">
        <v>4</v>
      </c>
      <c r="D180" s="3">
        <v>4.0679999999999996E-3</v>
      </c>
      <c r="E180" s="2">
        <v>62</v>
      </c>
    </row>
    <row r="181" spans="1:5" x14ac:dyDescent="0.3">
      <c r="A181" s="2">
        <v>240</v>
      </c>
      <c r="B181" s="2">
        <v>120</v>
      </c>
      <c r="C181" s="2">
        <v>5</v>
      </c>
      <c r="D181" s="3">
        <v>4.7349999999999996E-3</v>
      </c>
      <c r="E181" s="2">
        <v>62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/>
  </sheetViews>
  <sheetFormatPr baseColWidth="10" defaultColWidth="8.6640625" defaultRowHeight="14.4" x14ac:dyDescent="0.3"/>
  <cols>
    <col min="1" max="1" width="14" bestFit="1" customWidth="1"/>
    <col min="2" max="2" width="11.88671875" customWidth="1"/>
    <col min="3" max="3" width="13.109375" customWidth="1"/>
    <col min="4" max="7" width="13" customWidth="1"/>
  </cols>
  <sheetData>
    <row r="1" spans="1:7" x14ac:dyDescent="0.3">
      <c r="A1" s="4" t="s">
        <v>5</v>
      </c>
      <c r="B1" s="5">
        <v>40</v>
      </c>
      <c r="C1" s="5">
        <v>80</v>
      </c>
      <c r="D1" s="5">
        <v>120</v>
      </c>
      <c r="E1" s="5">
        <v>160</v>
      </c>
      <c r="F1" s="5">
        <v>200</v>
      </c>
      <c r="G1" s="5">
        <v>240</v>
      </c>
    </row>
    <row r="2" spans="1:7" x14ac:dyDescent="0.3">
      <c r="A2" s="5">
        <v>20</v>
      </c>
      <c r="B2" s="6">
        <f>AVERAGEIFS(Datos!$D$2:$D$181,Datos!$A$2:$A$181,B$1,Datos!$B$2:$B$181,$A2)</f>
        <v>2.1438000000000004E-3</v>
      </c>
      <c r="C2" s="6">
        <f>AVERAGEIFS(Datos!$D$2:$D$181,Datos!$A$2:$A$181,C$1,Datos!$B$2:$B$181,$A2)</f>
        <v>1.3382000000000001E-3</v>
      </c>
      <c r="D2" s="6">
        <f>AVERAGEIFS(Datos!$D$2:$D$181,Datos!$A$2:$A$181,D$1,Datos!$B$2:$B$181,$A2)</f>
        <v>1.8374000000000001E-3</v>
      </c>
      <c r="E2" s="6">
        <f>AVERAGEIFS(Datos!$D$2:$D$181,Datos!$A$2:$A$181,E$1,Datos!$B$2:$B$181,$A2)</f>
        <v>2.0977999999999999E-3</v>
      </c>
      <c r="F2" s="6">
        <f>AVERAGEIFS(Datos!$D$2:$D$181,Datos!$A$2:$A$181,F$1,Datos!$B$2:$B$181,$A2)</f>
        <v>2.653E-3</v>
      </c>
      <c r="G2" s="6">
        <f>AVERAGEIFS(Datos!$D$2:$D$181,Datos!$A$2:$A$181,G$1,Datos!$B$2:$B$181,$A2)</f>
        <v>2.9317999999999996E-3</v>
      </c>
    </row>
    <row r="3" spans="1:7" x14ac:dyDescent="0.3">
      <c r="A3" s="5">
        <v>40</v>
      </c>
      <c r="B3" s="6">
        <f>AVERAGEIFS(Datos!$D$2:$D$181,Datos!$A$2:$A$181,B$1,Datos!$B$2:$B$181,$A3)</f>
        <v>1.1977999999999999E-3</v>
      </c>
      <c r="C3" s="6">
        <f>AVERAGEIFS(Datos!$D$2:$D$181,Datos!$A$2:$A$181,C$1,Datos!$B$2:$B$181,$A3)</f>
        <v>1.9013999999999999E-3</v>
      </c>
      <c r="D3" s="6">
        <f>AVERAGEIFS(Datos!$D$2:$D$181,Datos!$A$2:$A$181,D$1,Datos!$B$2:$B$181,$A3)</f>
        <v>2.3418000000000002E-3</v>
      </c>
      <c r="E3" s="6">
        <f>AVERAGEIFS(Datos!$D$2:$D$181,Datos!$A$2:$A$181,E$1,Datos!$B$2:$B$181,$A3)</f>
        <v>8.490000000000001E-3</v>
      </c>
      <c r="F3" s="6">
        <f>AVERAGEIFS(Datos!$D$2:$D$181,Datos!$A$2:$A$181,F$1,Datos!$B$2:$B$181,$A3)</f>
        <v>3.9692000000000009E-3</v>
      </c>
      <c r="G3" s="6">
        <f>AVERAGEIFS(Datos!$D$2:$D$181,Datos!$A$2:$A$181,G$1,Datos!$B$2:$B$181,$A3)</f>
        <v>3.7089999999999996E-3</v>
      </c>
    </row>
    <row r="4" spans="1:7" x14ac:dyDescent="0.3">
      <c r="A4" s="5">
        <v>60</v>
      </c>
      <c r="B4" s="6">
        <f>AVERAGEIFS(Datos!$D$2:$D$181,Datos!$A$2:$A$181,B$1,Datos!$B$2:$B$181,$A4)</f>
        <v>2.8942000000000004E-3</v>
      </c>
      <c r="C4" s="6">
        <f>AVERAGEIFS(Datos!$D$2:$D$181,Datos!$A$2:$A$181,C$1,Datos!$B$2:$B$181,$A4)</f>
        <v>2.2675999999999998E-3</v>
      </c>
      <c r="D4" s="6">
        <f>AVERAGEIFS(Datos!$D$2:$D$181,Datos!$A$2:$A$181,D$1,Datos!$B$2:$B$181,$A4)</f>
        <v>3.3624000000000002E-3</v>
      </c>
      <c r="E4" s="6">
        <f>AVERAGEIFS(Datos!$D$2:$D$181,Datos!$A$2:$A$181,E$1,Datos!$B$2:$B$181,$A4)</f>
        <v>5.7610000000000005E-3</v>
      </c>
      <c r="F4" s="6">
        <f>AVERAGEIFS(Datos!$D$2:$D$181,Datos!$A$2:$A$181,F$1,Datos!$B$2:$B$181,$A4)</f>
        <v>4.1410000000000006E-3</v>
      </c>
      <c r="G4" s="6">
        <f>AVERAGEIFS(Datos!$D$2:$D$181,Datos!$A$2:$A$181,G$1,Datos!$B$2:$B$181,$A4)</f>
        <v>4.1984000000000006E-3</v>
      </c>
    </row>
    <row r="5" spans="1:7" x14ac:dyDescent="0.3">
      <c r="A5" s="5">
        <v>80</v>
      </c>
      <c r="B5" s="6">
        <f>AVERAGEIFS(Datos!$D$2:$D$181,Datos!$A$2:$A$181,B$1,Datos!$B$2:$B$181,$A5)</f>
        <v>1.82E-3</v>
      </c>
      <c r="C5" s="6">
        <f>AVERAGEIFS(Datos!$D$2:$D$181,Datos!$A$2:$A$181,C$1,Datos!$B$2:$B$181,$A5)</f>
        <v>4.1347999999999992E-3</v>
      </c>
      <c r="D5" s="6">
        <f>AVERAGEIFS(Datos!$D$2:$D$181,Datos!$A$2:$A$181,D$1,Datos!$B$2:$B$181,$A5)</f>
        <v>3.9883999999999996E-3</v>
      </c>
      <c r="E5" s="6">
        <f>AVERAGEIFS(Datos!$D$2:$D$181,Datos!$A$2:$A$181,E$1,Datos!$B$2:$B$181,$A5)</f>
        <v>4.3280000000000002E-3</v>
      </c>
      <c r="F5" s="6">
        <f>AVERAGEIFS(Datos!$D$2:$D$181,Datos!$A$2:$A$181,F$1,Datos!$B$2:$B$181,$A5)</f>
        <v>4.7381999999999997E-3</v>
      </c>
      <c r="G5" s="6">
        <f>AVERAGEIFS(Datos!$D$2:$D$181,Datos!$A$2:$A$181,G$1,Datos!$B$2:$B$181,$A5)</f>
        <v>4.4454000000000004E-3</v>
      </c>
    </row>
    <row r="6" spans="1:7" x14ac:dyDescent="0.3">
      <c r="A6" s="5">
        <v>100</v>
      </c>
      <c r="B6" s="6">
        <f>AVERAGEIFS(Datos!$D$2:$D$181,Datos!$A$2:$A$181,B$1,Datos!$B$2:$B$181,$A6)</f>
        <v>2.2951999999999998E-3</v>
      </c>
      <c r="C6" s="6">
        <f>AVERAGEIFS(Datos!$D$2:$D$181,Datos!$A$2:$A$181,C$1,Datos!$B$2:$B$181,$A6)</f>
        <v>4.1862000000000002E-3</v>
      </c>
      <c r="D6" s="6">
        <f>AVERAGEIFS(Datos!$D$2:$D$181,Datos!$A$2:$A$181,D$1,Datos!$B$2:$B$181,$A6)</f>
        <v>4.2312000000000001E-3</v>
      </c>
      <c r="E6" s="6">
        <f>AVERAGEIFS(Datos!$D$2:$D$181,Datos!$A$2:$A$181,E$1,Datos!$B$2:$B$181,$A6)</f>
        <v>4.5580000000000004E-3</v>
      </c>
      <c r="F6" s="6">
        <f>AVERAGEIFS(Datos!$D$2:$D$181,Datos!$A$2:$A$181,F$1,Datos!$B$2:$B$181,$A6)</f>
        <v>4.6065999999999998E-3</v>
      </c>
      <c r="G6" s="6">
        <f>AVERAGEIFS(Datos!$D$2:$D$181,Datos!$A$2:$A$181,G$1,Datos!$B$2:$B$181,$A6)</f>
        <v>4.5060000000000005E-3</v>
      </c>
    </row>
    <row r="7" spans="1:7" x14ac:dyDescent="0.3">
      <c r="A7" s="5">
        <v>120</v>
      </c>
      <c r="B7" s="6">
        <f>AVERAGEIFS(Datos!$D$2:$D$181,Datos!$A$2:$A$181,B$1,Datos!$B$2:$B$181,$A7)</f>
        <v>2.5098E-3</v>
      </c>
      <c r="C7" s="6">
        <f>AVERAGEIFS(Datos!$D$2:$D$181,Datos!$A$2:$A$181,C$1,Datos!$B$2:$B$181,$A7)</f>
        <v>4.0267999999999997E-3</v>
      </c>
      <c r="D7" s="6">
        <f>AVERAGEIFS(Datos!$D$2:$D$181,Datos!$A$2:$A$181,D$1,Datos!$B$2:$B$181,$A7)</f>
        <v>4.1523999999999997E-3</v>
      </c>
      <c r="E7" s="6">
        <f>AVERAGEIFS(Datos!$D$2:$D$181,Datos!$A$2:$A$181,E$1,Datos!$B$2:$B$181,$A7)</f>
        <v>4.6192000000000004E-3</v>
      </c>
      <c r="F7" s="6">
        <f>AVERAGEIFS(Datos!$D$2:$D$181,Datos!$A$2:$A$181,F$1,Datos!$B$2:$B$181,$A7)</f>
        <v>4.6027999999999998E-3</v>
      </c>
      <c r="G7" s="6">
        <f>AVERAGEIFS(Datos!$D$2:$D$181,Datos!$A$2:$A$181,G$1,Datos!$B$2:$B$181,$A7)</f>
        <v>4.4755999999999997E-3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workbookViewId="0"/>
  </sheetViews>
  <sheetFormatPr baseColWidth="10" defaultColWidth="8.6640625" defaultRowHeight="14.4" x14ac:dyDescent="0.3"/>
  <cols>
    <col min="1" max="7" width="13" customWidth="1"/>
  </cols>
  <sheetData>
    <row r="1" spans="1:7" x14ac:dyDescent="0.3">
      <c r="A1" s="4" t="s">
        <v>5</v>
      </c>
      <c r="B1" s="5">
        <v>40</v>
      </c>
      <c r="C1" s="5">
        <v>80</v>
      </c>
      <c r="D1" s="5">
        <v>120</v>
      </c>
      <c r="E1" s="5">
        <v>160</v>
      </c>
      <c r="F1" s="5">
        <v>200</v>
      </c>
      <c r="G1" s="5">
        <v>240</v>
      </c>
    </row>
    <row r="2" spans="1:7" x14ac:dyDescent="0.3">
      <c r="A2" s="5">
        <v>20</v>
      </c>
      <c r="B2" s="7">
        <f>AVERAGEIFS(Datos!$E$2:$E$181,Datos!$A$2:$A$181,B$1,Datos!$B$2:$B$181,$A2)</f>
        <v>6.2</v>
      </c>
      <c r="C2" s="7">
        <f>AVERAGEIFS(Datos!$E$2:$E$181,Datos!$A$2:$A$181,C$1,Datos!$B$2:$B$181,$A2)</f>
        <v>12</v>
      </c>
      <c r="D2" s="7">
        <f>AVERAGEIFS(Datos!$E$2:$E$181,Datos!$A$2:$A$181,D$1,Datos!$B$2:$B$181,$A2)</f>
        <v>19.2</v>
      </c>
      <c r="E2" s="7">
        <f>AVERAGEIFS(Datos!$E$2:$E$181,Datos!$A$2:$A$181,E$1,Datos!$B$2:$B$181,$A2)</f>
        <v>23.8</v>
      </c>
      <c r="F2" s="7">
        <f>AVERAGEIFS(Datos!$E$2:$E$181,Datos!$A$2:$A$181,F$1,Datos!$B$2:$B$181,$A2)</f>
        <v>31</v>
      </c>
      <c r="G2" s="7">
        <f>AVERAGEIFS(Datos!$E$2:$E$181,Datos!$A$2:$A$181,G$1,Datos!$B$2:$B$181,$A2)</f>
        <v>35.6</v>
      </c>
    </row>
    <row r="3" spans="1:7" x14ac:dyDescent="0.3">
      <c r="A3" s="5">
        <v>40</v>
      </c>
      <c r="B3" s="7">
        <f>AVERAGEIFS(Datos!$E$2:$E$181,Datos!$A$2:$A$181,B$1,Datos!$B$2:$B$181,$A3)</f>
        <v>9</v>
      </c>
      <c r="C3" s="7">
        <f>AVERAGEIFS(Datos!$E$2:$E$181,Datos!$A$2:$A$181,C$1,Datos!$B$2:$B$181,$A3)</f>
        <v>19.399999999999999</v>
      </c>
      <c r="D3" s="7">
        <f>AVERAGEIFS(Datos!$E$2:$E$181,Datos!$A$2:$A$181,D$1,Datos!$B$2:$B$181,$A3)</f>
        <v>27.6</v>
      </c>
      <c r="E3" s="7">
        <f>AVERAGEIFS(Datos!$E$2:$E$181,Datos!$A$2:$A$181,E$1,Datos!$B$2:$B$181,$A3)</f>
        <v>36.200000000000003</v>
      </c>
      <c r="F3" s="7">
        <f>AVERAGEIFS(Datos!$E$2:$E$181,Datos!$A$2:$A$181,F$1,Datos!$B$2:$B$181,$A3)</f>
        <v>42</v>
      </c>
      <c r="G3" s="7">
        <f>AVERAGEIFS(Datos!$E$2:$E$181,Datos!$A$2:$A$181,G$1,Datos!$B$2:$B$181,$A3)</f>
        <v>46.4</v>
      </c>
    </row>
    <row r="4" spans="1:7" x14ac:dyDescent="0.3">
      <c r="A4" s="5">
        <v>60</v>
      </c>
      <c r="B4" s="7">
        <f>AVERAGEIFS(Datos!$E$2:$E$181,Datos!$A$2:$A$181,B$1,Datos!$B$2:$B$181,$A4)</f>
        <v>13.4</v>
      </c>
      <c r="C4" s="7">
        <f>AVERAGEIFS(Datos!$E$2:$E$181,Datos!$A$2:$A$181,C$1,Datos!$B$2:$B$181,$A4)</f>
        <v>25.4</v>
      </c>
      <c r="D4" s="7">
        <f>AVERAGEIFS(Datos!$E$2:$E$181,Datos!$A$2:$A$181,D$1,Datos!$B$2:$B$181,$A4)</f>
        <v>39.4</v>
      </c>
      <c r="E4" s="7">
        <f>AVERAGEIFS(Datos!$E$2:$E$181,Datos!$A$2:$A$181,E$1,Datos!$B$2:$B$181,$A4)</f>
        <v>45.8</v>
      </c>
      <c r="F4" s="7">
        <f>AVERAGEIFS(Datos!$E$2:$E$181,Datos!$A$2:$A$181,F$1,Datos!$B$2:$B$181,$A4)</f>
        <v>52</v>
      </c>
      <c r="G4" s="7">
        <f>AVERAGEIFS(Datos!$E$2:$E$181,Datos!$A$2:$A$181,G$1,Datos!$B$2:$B$181,$A4)</f>
        <v>54.2</v>
      </c>
    </row>
    <row r="5" spans="1:7" x14ac:dyDescent="0.3">
      <c r="A5" s="5">
        <v>80</v>
      </c>
      <c r="B5" s="7">
        <f>AVERAGEIFS(Datos!$E$2:$E$181,Datos!$A$2:$A$181,B$1,Datos!$B$2:$B$181,$A5)</f>
        <v>17.8</v>
      </c>
      <c r="C5" s="7">
        <f>AVERAGEIFS(Datos!$E$2:$E$181,Datos!$A$2:$A$181,C$1,Datos!$B$2:$B$181,$A5)</f>
        <v>35.4</v>
      </c>
      <c r="D5" s="7">
        <f>AVERAGEIFS(Datos!$E$2:$E$181,Datos!$A$2:$A$181,D$1,Datos!$B$2:$B$181,$A5)</f>
        <v>45.2</v>
      </c>
      <c r="E5" s="7">
        <f>AVERAGEIFS(Datos!$E$2:$E$181,Datos!$A$2:$A$181,E$1,Datos!$B$2:$B$181,$A5)</f>
        <v>53.2</v>
      </c>
      <c r="F5" s="7">
        <f>AVERAGEIFS(Datos!$E$2:$E$181,Datos!$A$2:$A$181,F$1,Datos!$B$2:$B$181,$A5)</f>
        <v>55.6</v>
      </c>
      <c r="G5" s="7">
        <f>AVERAGEIFS(Datos!$E$2:$E$181,Datos!$A$2:$A$181,G$1,Datos!$B$2:$B$181,$A5)</f>
        <v>58.6</v>
      </c>
    </row>
    <row r="6" spans="1:7" x14ac:dyDescent="0.3">
      <c r="A6" s="5">
        <v>100</v>
      </c>
      <c r="B6" s="7">
        <f>AVERAGEIFS(Datos!$E$2:$E$181,Datos!$A$2:$A$181,B$1,Datos!$B$2:$B$181,$A6)</f>
        <v>23.6</v>
      </c>
      <c r="C6" s="7">
        <f>AVERAGEIFS(Datos!$E$2:$E$181,Datos!$A$2:$A$181,C$1,Datos!$B$2:$B$181,$A6)</f>
        <v>42.6</v>
      </c>
      <c r="D6" s="7">
        <f>AVERAGEIFS(Datos!$E$2:$E$181,Datos!$A$2:$A$181,D$1,Datos!$B$2:$B$181,$A6)</f>
        <v>51.8</v>
      </c>
      <c r="E6" s="7">
        <f>AVERAGEIFS(Datos!$E$2:$E$181,Datos!$A$2:$A$181,E$1,Datos!$B$2:$B$181,$A6)</f>
        <v>57.2</v>
      </c>
      <c r="F6" s="7">
        <f>AVERAGEIFS(Datos!$E$2:$E$181,Datos!$A$2:$A$181,F$1,Datos!$B$2:$B$181,$A6)</f>
        <v>60.4</v>
      </c>
      <c r="G6" s="7">
        <f>AVERAGEIFS(Datos!$E$2:$E$181,Datos!$A$2:$A$181,G$1,Datos!$B$2:$B$181,$A6)</f>
        <v>62</v>
      </c>
    </row>
    <row r="7" spans="1:7" x14ac:dyDescent="0.3">
      <c r="A7" s="5">
        <v>120</v>
      </c>
      <c r="B7" s="7">
        <f>AVERAGEIFS(Datos!$E$2:$E$181,Datos!$A$2:$A$181,B$1,Datos!$B$2:$B$181,$A7)</f>
        <v>27.8</v>
      </c>
      <c r="C7" s="7">
        <f>AVERAGEIFS(Datos!$E$2:$E$181,Datos!$A$2:$A$181,C$1,Datos!$B$2:$B$181,$A7)</f>
        <v>47.4</v>
      </c>
      <c r="D7" s="7">
        <f>AVERAGEIFS(Datos!$E$2:$E$181,Datos!$A$2:$A$181,D$1,Datos!$B$2:$B$181,$A7)</f>
        <v>53.4</v>
      </c>
      <c r="E7" s="7">
        <f>AVERAGEIFS(Datos!$E$2:$E$181,Datos!$A$2:$A$181,E$1,Datos!$B$2:$B$181,$A7)</f>
        <v>58.4</v>
      </c>
      <c r="F7" s="7">
        <f>AVERAGEIFS(Datos!$E$2:$E$181,Datos!$A$2:$A$181,F$1,Datos!$B$2:$B$181,$A7)</f>
        <v>60.6</v>
      </c>
      <c r="G7" s="7">
        <f>AVERAGEIFS(Datos!$E$2:$E$181,Datos!$A$2:$A$181,G$1,Datos!$B$2:$B$181,$A7)</f>
        <v>62.2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Pivote_Tiempo</vt:lpstr>
      <vt:lpstr>Pivote_Habitaciones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Cabrera Avendaño</cp:lastModifiedBy>
  <cp:revision>1</cp:revision>
  <dcterms:created xsi:type="dcterms:W3CDTF">2026-06-28T21:06:45Z</dcterms:created>
  <dcterms:modified xsi:type="dcterms:W3CDTF">2026-06-28T21:41:08Z</dcterms:modified>
  <dc:language>en-US</dc:language>
</cp:coreProperties>
</file>